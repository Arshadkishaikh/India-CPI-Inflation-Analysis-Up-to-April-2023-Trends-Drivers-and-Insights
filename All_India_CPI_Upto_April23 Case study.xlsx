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90064bbe736d7c/Desktop/Coding Ninjas/Case study/"/>
    </mc:Choice>
  </mc:AlternateContent>
  <xr:revisionPtr revIDLastSave="6" documentId="13_ncr:1_{2290D31E-6C17-4B5C-9273-6DF35654CF89}" xr6:coauthVersionLast="47" xr6:coauthVersionMax="47" xr10:uidLastSave="{51125D84-DEC6-4CE4-9BD4-6F206180C7D4}"/>
  <bookViews>
    <workbookView xWindow="-108" yWindow="-108" windowWidth="23256" windowHeight="12456" firstSheet="4" activeTab="5" xr2:uid="{6FA80AC9-E1AC-4AF5-A909-5FE515998A8E}"/>
  </bookViews>
  <sheets>
    <sheet name="Objective" sheetId="5" r:id="rId1"/>
    <sheet name="Original Data" sheetId="1" r:id="rId2"/>
    <sheet name="Working Data" sheetId="2" r:id="rId3"/>
    <sheet name="Buckets" sheetId="4" r:id="rId4"/>
    <sheet name="Problem statement 1" sheetId="3" r:id="rId5"/>
    <sheet name="Problem statement 2" sheetId="10" r:id="rId6"/>
    <sheet name="Problem statement 3" sheetId="13" r:id="rId7"/>
    <sheet name="Problem statement 4" sheetId="14" r:id="rId8"/>
    <sheet name="Problem statement 5" sheetId="15" r:id="rId9"/>
  </sheets>
  <definedNames>
    <definedName name="_xlnm._FilterDatabase" localSheetId="6" hidden="1">'Problem statement 3'!$B$11:$E$23</definedName>
    <definedName name="_xlchart.v1.0" hidden="1">'Problem statement 5'!$B$33:$B$58</definedName>
    <definedName name="_xlchart.v1.1" hidden="1">'Problem statement 5'!$C$32</definedName>
    <definedName name="_xlchart.v1.2" hidden="1">'Problem statement 5'!$C$33:$C$58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15" l="1"/>
  <c r="C36" i="15"/>
  <c r="C52" i="15"/>
  <c r="C42" i="15"/>
  <c r="C39" i="15"/>
  <c r="C43" i="15"/>
  <c r="C44" i="15"/>
  <c r="C49" i="15"/>
  <c r="C51" i="15"/>
  <c r="C46" i="15"/>
  <c r="C47" i="15"/>
  <c r="C35" i="15"/>
  <c r="C38" i="15"/>
  <c r="C37" i="15"/>
  <c r="C45" i="15"/>
  <c r="C40" i="15"/>
  <c r="C54" i="15"/>
  <c r="C48" i="15"/>
  <c r="C57" i="15"/>
  <c r="C56" i="15"/>
  <c r="C50" i="15"/>
  <c r="C34" i="15"/>
  <c r="C53" i="15"/>
  <c r="C58" i="15"/>
  <c r="C33" i="15"/>
  <c r="C55" i="15"/>
  <c r="G3" i="14" l="1"/>
  <c r="G4" i="14"/>
  <c r="G5" i="14"/>
  <c r="G6" i="14"/>
  <c r="J6" i="14" s="1"/>
  <c r="G7" i="14"/>
  <c r="J7" i="14" s="1"/>
  <c r="G8" i="14"/>
  <c r="G9" i="14"/>
  <c r="J9" i="14" s="1"/>
  <c r="G10" i="14"/>
  <c r="G11" i="14"/>
  <c r="G12" i="14"/>
  <c r="G13" i="14"/>
  <c r="G14" i="14"/>
  <c r="G15" i="14"/>
  <c r="G16" i="14"/>
  <c r="G17" i="14"/>
  <c r="J17" i="14" s="1"/>
  <c r="G18" i="14"/>
  <c r="G19" i="14"/>
  <c r="G20" i="14"/>
  <c r="G21" i="14"/>
  <c r="J21" i="14" s="1"/>
  <c r="G22" i="14"/>
  <c r="J22" i="14" s="1"/>
  <c r="G23" i="14"/>
  <c r="J23" i="14" s="1"/>
  <c r="G24" i="14"/>
  <c r="G25" i="14"/>
  <c r="J25" i="14" s="1"/>
  <c r="G26" i="14"/>
  <c r="G27" i="14"/>
  <c r="G28" i="14"/>
  <c r="J13" i="14"/>
  <c r="J5" i="14"/>
  <c r="J15" i="14"/>
  <c r="J4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F47" i="13"/>
  <c r="G47" i="13"/>
  <c r="H47" i="13"/>
  <c r="I47" i="13"/>
  <c r="J47" i="13"/>
  <c r="K47" i="13"/>
  <c r="L47" i="13"/>
  <c r="M47" i="13"/>
  <c r="N47" i="13"/>
  <c r="O47" i="13"/>
  <c r="P47" i="13"/>
  <c r="Q47" i="13"/>
  <c r="E47" i="13"/>
  <c r="B30" i="13"/>
  <c r="F14" i="13"/>
  <c r="F15" i="13"/>
  <c r="F16" i="13"/>
  <c r="F17" i="13"/>
  <c r="F18" i="13"/>
  <c r="F19" i="13"/>
  <c r="F20" i="13"/>
  <c r="F21" i="13"/>
  <c r="F22" i="13"/>
  <c r="F23" i="13"/>
  <c r="F13" i="13"/>
  <c r="E18" i="10"/>
  <c r="E19" i="10"/>
  <c r="E20" i="10"/>
  <c r="E21" i="10"/>
  <c r="E22" i="10"/>
  <c r="E23" i="10"/>
  <c r="E17" i="10"/>
  <c r="J24" i="14" l="1"/>
  <c r="J16" i="14"/>
  <c r="J8" i="14"/>
  <c r="J20" i="14"/>
  <c r="J26" i="14"/>
  <c r="J10" i="14"/>
  <c r="J14" i="14"/>
  <c r="J18" i="14"/>
  <c r="J27" i="14"/>
  <c r="J11" i="14"/>
  <c r="J28" i="14"/>
  <c r="J12" i="14"/>
  <c r="J19" i="14"/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2" i="4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3" i="3"/>
  <c r="E377" i="1" l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AD377" i="1"/>
  <c r="E376" i="1"/>
  <c r="F376" i="1"/>
  <c r="G376" i="1"/>
  <c r="H376" i="1"/>
  <c r="I376" i="1"/>
  <c r="I378" i="1" s="1"/>
  <c r="J376" i="1"/>
  <c r="K376" i="1"/>
  <c r="L376" i="1"/>
  <c r="M376" i="1"/>
  <c r="N376" i="1"/>
  <c r="O376" i="1"/>
  <c r="P376" i="1"/>
  <c r="Q376" i="1"/>
  <c r="Q378" i="1" s="1"/>
  <c r="R376" i="1"/>
  <c r="S376" i="1"/>
  <c r="T376" i="1"/>
  <c r="U376" i="1"/>
  <c r="V376" i="1"/>
  <c r="W376" i="1"/>
  <c r="X376" i="1"/>
  <c r="Y376" i="1"/>
  <c r="Y378" i="1" s="1"/>
  <c r="Z376" i="1"/>
  <c r="AA376" i="1"/>
  <c r="AB376" i="1"/>
  <c r="AC376" i="1"/>
  <c r="AD376" i="1"/>
  <c r="D377" i="1"/>
  <c r="D376" i="1"/>
  <c r="G378" i="1" l="1"/>
  <c r="F378" i="1"/>
  <c r="AA378" i="1"/>
  <c r="K378" i="1"/>
  <c r="S378" i="1"/>
  <c r="Z378" i="1"/>
  <c r="J378" i="1"/>
  <c r="R378" i="1"/>
  <c r="X378" i="1"/>
  <c r="P378" i="1"/>
  <c r="H378" i="1"/>
  <c r="U378" i="1"/>
  <c r="M378" i="1"/>
  <c r="AC378" i="1"/>
  <c r="W378" i="1"/>
  <c r="O378" i="1"/>
  <c r="V378" i="1"/>
  <c r="N378" i="1"/>
  <c r="AD378" i="1"/>
  <c r="E378" i="1"/>
  <c r="D378" i="1"/>
  <c r="T378" i="1"/>
  <c r="L378" i="1"/>
  <c r="AB378" i="1"/>
</calcChain>
</file>

<file path=xl/sharedStrings.xml><?xml version="1.0" encoding="utf-8"?>
<sst xmlns="http://schemas.openxmlformats.org/spreadsheetml/2006/main" count="3019" uniqueCount="134">
  <si>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</si>
  <si>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</si>
  <si>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</si>
  <si>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</si>
  <si>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</si>
  <si>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</si>
  <si>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</si>
  <si>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</si>
  <si>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</si>
  <si>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</si>
  <si>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</si>
  <si>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</si>
  <si>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</si>
  <si>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</si>
  <si>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</si>
  <si>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</si>
  <si>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</si>
  <si>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</si>
  <si>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</si>
  <si>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</si>
  <si>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</si>
  <si>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</si>
  <si>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</si>
  <si>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</si>
  <si>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</si>
  <si>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</si>
  <si>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</si>
  <si>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</si>
  <si>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</si>
  <si>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</si>
  <si>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</si>
  <si>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</si>
  <si>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</si>
  <si>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</si>
  <si>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</si>
  <si>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</si>
  <si>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</si>
  <si>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</si>
  <si>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</si>
  <si>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</si>
  <si>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</si>
  <si>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</si>
  <si>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</si>
  <si>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</si>
  <si>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</si>
  <si>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</si>
  <si>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</si>
  <si>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</si>
  <si>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</si>
  <si>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average</t>
  </si>
  <si>
    <t>stdev</t>
  </si>
  <si>
    <t>Row Labels</t>
  </si>
  <si>
    <t>Grand Total</t>
  </si>
  <si>
    <t>Energy</t>
  </si>
  <si>
    <t>Transportation</t>
  </si>
  <si>
    <t>Broader categories</t>
  </si>
  <si>
    <t>Sub-categories</t>
  </si>
  <si>
    <t>Food &amp; Beverages</t>
  </si>
  <si>
    <t>Health and Personal care</t>
  </si>
  <si>
    <t>Housing and Household</t>
  </si>
  <si>
    <t>Clothing and Footwear</t>
  </si>
  <si>
    <t>Recreation and miscellaneous</t>
  </si>
  <si>
    <t>Rural + Urban</t>
  </si>
  <si>
    <t>Sum of Rural + Urban</t>
  </si>
  <si>
    <t>OBJECTIVE</t>
  </si>
  <si>
    <t>Buckets created after combining similar categories</t>
  </si>
  <si>
    <t>Tasks:</t>
  </si>
  <si>
    <t>1. Which broader category has the highest contribution towards CPI calculation?</t>
  </si>
  <si>
    <t>Food &amp; Beverage</t>
  </si>
  <si>
    <r>
      <rPr>
        <sz val="11"/>
        <rFont val="Aptos Narrow"/>
        <family val="2"/>
        <scheme val="minor"/>
      </rPr>
      <t xml:space="preserve">2. Contribution is calculated by evaluating the underlying index values for broader categories, and the total should add up to </t>
    </r>
    <r>
      <rPr>
        <b/>
        <sz val="11"/>
        <rFont val="Aptos Narrow"/>
        <family val="2"/>
        <scheme val="minor"/>
      </rPr>
      <t>100%</t>
    </r>
    <r>
      <rPr>
        <sz val="11"/>
        <rFont val="Aptos Narrow"/>
        <family val="2"/>
        <scheme val="minor"/>
      </rPr>
      <t xml:space="preserve"> when all broader categories are added.</t>
    </r>
  </si>
  <si>
    <t>Done</t>
  </si>
  <si>
    <t>Column Labels</t>
  </si>
  <si>
    <t>Sum of General index</t>
  </si>
  <si>
    <r>
      <rPr>
        <b/>
        <sz val="11"/>
        <color theme="1"/>
        <rFont val="Aptos Narrow"/>
        <family val="2"/>
        <scheme val="minor"/>
      </rPr>
      <t>Formula Used for Annual Inflation Rate</t>
    </r>
    <r>
      <rPr>
        <sz val="11"/>
        <color theme="1"/>
        <rFont val="Aptos Narrow"/>
        <family val="2"/>
        <scheme val="minor"/>
      </rPr>
      <t>:-
((CPI at the end of the year-CPI at the start of year)/CPI at start of year )*100</t>
    </r>
  </si>
  <si>
    <t>M-o-M Inflation Rate</t>
  </si>
  <si>
    <t>Y-o-Y Inflation Rate</t>
  </si>
  <si>
    <t>Task -</t>
  </si>
  <si>
    <t>1. Identifying the highest &amp; lowest MoM food inflation</t>
  </si>
  <si>
    <t>2. Analyzing absolute changes over the 12-month period</t>
  </si>
  <si>
    <r>
      <t>Highest:</t>
    </r>
    <r>
      <rPr>
        <sz val="11"/>
        <color theme="1"/>
        <rFont val="Aptos Narrow"/>
        <family val="2"/>
        <scheme val="minor"/>
      </rPr>
      <t xml:space="preserve"> May 2023 (</t>
    </r>
    <r>
      <rPr>
        <b/>
        <sz val="11"/>
        <color theme="1"/>
        <rFont val="Aptos Narrow"/>
        <family val="2"/>
        <scheme val="minor"/>
      </rPr>
      <t>0.75%</t>
    </r>
    <r>
      <rPr>
        <sz val="11"/>
        <color theme="1"/>
        <rFont val="Aptos Narrow"/>
        <family val="2"/>
        <scheme val="minor"/>
      </rPr>
      <t>)</t>
    </r>
  </si>
  <si>
    <t>3. Biggest contributor</t>
  </si>
  <si>
    <t>Inflation for each category</t>
  </si>
  <si>
    <r>
      <t>Lowest:</t>
    </r>
    <r>
      <rPr>
        <sz val="11"/>
        <color theme="1"/>
        <rFont val="Aptos Narrow"/>
        <family val="2"/>
        <scheme val="minor"/>
      </rPr>
      <t xml:space="preserve"> February 2023 (</t>
    </r>
    <r>
      <rPr>
        <b/>
        <sz val="11"/>
        <color theme="1"/>
        <rFont val="Aptos Narrow"/>
        <family val="2"/>
        <scheme val="minor"/>
      </rPr>
      <t>-0.60%</t>
    </r>
    <r>
      <rPr>
        <sz val="11"/>
        <color theme="1"/>
        <rFont val="Aptos Narrow"/>
        <family val="2"/>
        <scheme val="minor"/>
      </rPr>
      <t>)</t>
    </r>
  </si>
  <si>
    <t>Essential</t>
  </si>
  <si>
    <t>Essentials:</t>
  </si>
  <si>
    <t>Household goods and services
Clothing and footwear
Fuel and light
Pan, tobacco and intoxicants</t>
  </si>
  <si>
    <t>Essential Inflation</t>
  </si>
  <si>
    <t>Food Inflation</t>
  </si>
  <si>
    <t>Health Inflation</t>
  </si>
  <si>
    <t xml:space="preserve"> </t>
  </si>
  <si>
    <t>Period</t>
  </si>
  <si>
    <t>Before Covid</t>
  </si>
  <si>
    <t>After Covid</t>
  </si>
  <si>
    <t>Covid Onset</t>
  </si>
  <si>
    <t>Crude  Oil Price</t>
  </si>
  <si>
    <t>Category</t>
  </si>
  <si>
    <t>Correlation</t>
  </si>
  <si>
    <t>Inflation</t>
  </si>
  <si>
    <t>Website Used:- https://www.indexmundi.com/commodities/?commodity=crude-oil&amp;months=60&amp;currency=inr</t>
  </si>
  <si>
    <r>
      <t xml:space="preserve">Categories whose inflation prices strongly changes with fluctuation in inported crude oil prices are:
</t>
    </r>
    <r>
      <rPr>
        <b/>
        <sz val="11"/>
        <color theme="1"/>
        <rFont val="Aptos Narrow"/>
        <family val="2"/>
        <scheme val="minor"/>
      </rPr>
      <t>Meat and fish, Oil and Fats &amp; Transportation and communication</t>
    </r>
  </si>
  <si>
    <t>Insights Before March 2020 (Jan 2019 – Mar 2020):</t>
  </si>
  <si>
    <t>Generally stable with mild monthly fluctuations.</t>
  </si>
  <si>
    <r>
      <t xml:space="preserve">Ranges mostly between </t>
    </r>
    <r>
      <rPr>
        <b/>
        <sz val="11"/>
        <color theme="1"/>
        <rFont val="Aptos Narrow"/>
        <family val="2"/>
        <scheme val="minor"/>
      </rPr>
      <t>0% to 2%</t>
    </r>
    <r>
      <rPr>
        <sz val="11"/>
        <color theme="1"/>
        <rFont val="Aptos Narrow"/>
        <family val="2"/>
        <scheme val="minor"/>
      </rPr>
      <t xml:space="preserve"> (0 to 0.02 on the Y-axis).</t>
    </r>
  </si>
  <si>
    <t>Slight upward trend visible toward late 2019.</t>
  </si>
  <si>
    <t>Remains steady with very little monthly volatility.</t>
  </si>
  <si>
    <r>
      <t xml:space="preserve">Mostly hovers between </t>
    </r>
    <r>
      <rPr>
        <b/>
        <sz val="11"/>
        <color theme="1"/>
        <rFont val="Aptos Narrow"/>
        <family val="2"/>
        <scheme val="minor"/>
      </rPr>
      <t>0% and 1%</t>
    </r>
    <r>
      <rPr>
        <sz val="11"/>
        <color theme="1"/>
        <rFont val="Aptos Narrow"/>
        <family val="2"/>
        <scheme val="minor"/>
      </rPr>
      <t>.</t>
    </r>
  </si>
  <si>
    <t>Reflects a relatively controlled or regulated health sector prior to the pandemic.</t>
  </si>
  <si>
    <r>
      <t xml:space="preserve">Shows a </t>
    </r>
    <r>
      <rPr>
        <b/>
        <sz val="11"/>
        <color theme="1"/>
        <rFont val="Aptos Narrow"/>
        <family val="2"/>
        <scheme val="minor"/>
      </rPr>
      <t>clear seasonal or cyclical pattern</t>
    </r>
    <r>
      <rPr>
        <sz val="11"/>
        <color theme="1"/>
        <rFont val="Aptos Narrow"/>
        <family val="2"/>
        <scheme val="minor"/>
      </rPr>
      <t>, with sharp increases followed by equally sharp declines.</t>
    </r>
  </si>
  <si>
    <r>
      <t xml:space="preserve">Frequently dips into </t>
    </r>
    <r>
      <rPr>
        <b/>
        <sz val="11"/>
        <color theme="1"/>
        <rFont val="Aptos Narrow"/>
        <family val="2"/>
        <scheme val="minor"/>
      </rPr>
      <t>negative inflation (deflation)</t>
    </r>
    <r>
      <rPr>
        <sz val="11"/>
        <color theme="1"/>
        <rFont val="Aptos Narrow"/>
        <family val="2"/>
        <scheme val="minor"/>
      </rPr>
      <t xml:space="preserve"> territory, sometimes as low as </t>
    </r>
    <r>
      <rPr>
        <b/>
        <sz val="11"/>
        <color theme="1"/>
        <rFont val="Aptos Narrow"/>
        <family val="2"/>
        <scheme val="minor"/>
      </rPr>
      <t>-6%</t>
    </r>
    <r>
      <rPr>
        <sz val="11"/>
        <color theme="1"/>
        <rFont val="Aptos Narrow"/>
        <family val="2"/>
        <scheme val="minor"/>
      </rPr>
      <t>.</t>
    </r>
  </si>
  <si>
    <t>This cyclical pattern suggests possible seasonality in essential goods pricing (possibly energy, utilities, etc.).</t>
  </si>
  <si>
    <t>Insights After March 2020 (Apr 2020 – Mar 2021):</t>
  </si>
  <si>
    <t>1. Food Inflation:</t>
  </si>
  <si>
    <r>
      <t xml:space="preserve">Becomes </t>
    </r>
    <r>
      <rPr>
        <b/>
        <sz val="11"/>
        <color theme="1"/>
        <rFont val="Aptos Narrow"/>
        <family val="2"/>
        <scheme val="minor"/>
      </rPr>
      <t>more volatile</t>
    </r>
    <r>
      <rPr>
        <sz val="11"/>
        <color theme="1"/>
        <rFont val="Aptos Narrow"/>
        <family val="2"/>
        <scheme val="minor"/>
      </rPr>
      <t xml:space="preserve"> post-March 2020.</t>
    </r>
  </si>
  <si>
    <r>
      <t xml:space="preserve">Peaks sharply around </t>
    </r>
    <r>
      <rPr>
        <b/>
        <sz val="11"/>
        <color theme="1"/>
        <rFont val="Aptos Narrow"/>
        <family val="2"/>
        <scheme val="minor"/>
      </rPr>
      <t>April and May 2020</t>
    </r>
    <r>
      <rPr>
        <sz val="11"/>
        <color theme="1"/>
        <rFont val="Aptos Narrow"/>
        <family val="2"/>
        <scheme val="minor"/>
      </rPr>
      <t xml:space="preserve">, likely due to </t>
    </r>
    <r>
      <rPr>
        <b/>
        <sz val="11"/>
        <color theme="1"/>
        <rFont val="Aptos Narrow"/>
        <family val="2"/>
        <scheme val="minor"/>
      </rPr>
      <t>supply chain disruptions and panic buying</t>
    </r>
    <r>
      <rPr>
        <sz val="11"/>
        <color theme="1"/>
        <rFont val="Aptos Narrow"/>
        <family val="2"/>
        <scheme val="minor"/>
      </rPr>
      <t xml:space="preserve"> during lockdowns.</t>
    </r>
  </si>
  <si>
    <t>Although it stabilizes later, the volatility remains slightly higher than pre-pandemic levels.</t>
  </si>
  <si>
    <t>2. Health Inflation:</t>
  </si>
  <si>
    <r>
      <t xml:space="preserve">Slightly increases and shows </t>
    </r>
    <r>
      <rPr>
        <b/>
        <sz val="11"/>
        <color theme="1"/>
        <rFont val="Aptos Narrow"/>
        <family val="2"/>
        <scheme val="minor"/>
      </rPr>
      <t>greater variability</t>
    </r>
    <r>
      <rPr>
        <sz val="11"/>
        <color theme="1"/>
        <rFont val="Aptos Narrow"/>
        <family val="2"/>
        <scheme val="minor"/>
      </rPr>
      <t xml:space="preserve">, especially around </t>
    </r>
    <r>
      <rPr>
        <b/>
        <sz val="11"/>
        <color theme="1"/>
        <rFont val="Aptos Narrow"/>
        <family val="2"/>
        <scheme val="minor"/>
      </rPr>
      <t>June 2020</t>
    </r>
    <r>
      <rPr>
        <sz val="11"/>
        <color theme="1"/>
        <rFont val="Aptos Narrow"/>
        <family val="2"/>
        <scheme val="minor"/>
      </rPr>
      <t>, possibly reflecting higher demand for healthcare services and medical goods.</t>
    </r>
  </si>
  <si>
    <r>
      <t xml:space="preserve">Suggests </t>
    </r>
    <r>
      <rPr>
        <b/>
        <sz val="11"/>
        <color theme="1"/>
        <rFont val="Aptos Narrow"/>
        <family val="2"/>
        <scheme val="minor"/>
      </rPr>
      <t>pressure on the health sector</t>
    </r>
    <r>
      <rPr>
        <sz val="11"/>
        <color theme="1"/>
        <rFont val="Aptos Narrow"/>
        <family val="2"/>
        <scheme val="minor"/>
      </rPr>
      <t xml:space="preserve"> during the peak pandemic phase.</t>
    </r>
  </si>
  <si>
    <t>3. Essential Inflation:</t>
  </si>
  <si>
    <r>
      <t xml:space="preserve">Continues its cyclical pattern but with </t>
    </r>
    <r>
      <rPr>
        <b/>
        <sz val="11"/>
        <color theme="1"/>
        <rFont val="Aptos Narrow"/>
        <family val="2"/>
        <scheme val="minor"/>
      </rPr>
      <t>slightly dampened peaks and troughs</t>
    </r>
    <r>
      <rPr>
        <sz val="11"/>
        <color theme="1"/>
        <rFont val="Aptos Narrow"/>
        <family val="2"/>
        <scheme val="minor"/>
      </rPr>
      <t xml:space="preserve"> post-pandemic onset.</t>
    </r>
  </si>
  <si>
    <r>
      <t xml:space="preserve">The swings remain sharp, but the amplitude appears slightly reduced, possibly due to </t>
    </r>
    <r>
      <rPr>
        <b/>
        <sz val="11"/>
        <color theme="1"/>
        <rFont val="Aptos Narrow"/>
        <family val="2"/>
        <scheme val="minor"/>
      </rPr>
      <t>regulations or market stabilization efforts</t>
    </r>
    <r>
      <rPr>
        <sz val="11"/>
        <color theme="1"/>
        <rFont val="Aptos Narrow"/>
        <family val="2"/>
        <scheme val="minor"/>
      </rPr>
      <t>.</t>
    </r>
  </si>
  <si>
    <r>
      <t>Post-March 2020, the pandemic disrupted usual inflation patterns</t>
    </r>
    <r>
      <rPr>
        <sz val="11"/>
        <color theme="1"/>
        <rFont val="Aptos Narrow"/>
        <family val="2"/>
        <scheme val="minor"/>
      </rPr>
      <t>, particularly in food and health sectors.</t>
    </r>
  </si>
  <si>
    <r>
      <t>Health and food prices reacted more sharply</t>
    </r>
    <r>
      <rPr>
        <sz val="11"/>
        <color theme="1"/>
        <rFont val="Aptos Narrow"/>
        <family val="2"/>
        <scheme val="minor"/>
      </rPr>
      <t>, indicating sensitivity to demand shocks and logistical constraints.</t>
    </r>
  </si>
  <si>
    <r>
      <t>Essential goods</t>
    </r>
    <r>
      <rPr>
        <sz val="11"/>
        <color theme="1"/>
        <rFont val="Aptos Narrow"/>
        <family val="2"/>
        <scheme val="minor"/>
      </rPr>
      <t xml:space="preserve"> retained their cyclical nature but appeared somewhat moderated, possibly due to </t>
    </r>
    <r>
      <rPr>
        <b/>
        <sz val="11"/>
        <color theme="1"/>
        <rFont val="Aptos Narrow"/>
        <family val="2"/>
        <scheme val="minor"/>
      </rPr>
      <t>government intervention or changing consumption patterns</t>
    </r>
    <r>
      <rPr>
        <sz val="11"/>
        <color theme="1"/>
        <rFont val="Aptos Narrow"/>
        <family val="2"/>
        <scheme val="minor"/>
      </rPr>
      <t>.</t>
    </r>
  </si>
  <si>
    <r>
      <t xml:space="preserve">Overall, </t>
    </r>
    <r>
      <rPr>
        <b/>
        <sz val="11"/>
        <color theme="1"/>
        <rFont val="Aptos Narrow"/>
        <family val="2"/>
        <scheme val="minor"/>
      </rPr>
      <t>economic volatility increased</t>
    </r>
    <r>
      <rPr>
        <sz val="11"/>
        <color theme="1"/>
        <rFont val="Aptos Narrow"/>
        <family val="2"/>
        <scheme val="minor"/>
      </rPr>
      <t xml:space="preserve"> post-pandemic onset, with inflationary pressures in critical sectors.</t>
    </r>
  </si>
  <si>
    <t>1. Food Inflation (Blue Line):</t>
  </si>
  <si>
    <t>2. Health Inflation (Purple Line):</t>
  </si>
  <si>
    <t>3. Essential Inflation (Green Line):</t>
  </si>
  <si>
    <t>Insights:</t>
  </si>
  <si>
    <t>📌 Key Observations:</t>
  </si>
  <si>
    <r>
      <t>2019 had the highest Y-o-Y inflation rate (7.7%)</t>
    </r>
    <r>
      <rPr>
        <sz val="11"/>
        <color theme="1"/>
        <rFont val="Aptos Narrow"/>
        <family val="2"/>
        <scheme val="minor"/>
      </rPr>
      <t xml:space="preserve"> between 2017 and 2022.</t>
    </r>
  </si>
  <si>
    <t>1. Sharp increases in vegetable and onion prices during mid to late 2019.Unseasonal rainfall and floods affected crop yields, particularly onions and tomatoes.</t>
  </si>
  <si>
    <r>
      <t xml:space="preserve">2. The </t>
    </r>
    <r>
      <rPr>
        <b/>
        <sz val="11"/>
        <color theme="1"/>
        <rFont val="Aptos Narrow"/>
        <family val="2"/>
        <scheme val="minor"/>
      </rPr>
      <t>primary cause</t>
    </r>
    <r>
      <rPr>
        <sz val="11"/>
        <color theme="1"/>
        <rFont val="Aptos Narrow"/>
        <family val="2"/>
        <scheme val="minor"/>
      </rPr>
      <t xml:space="preserve"> was </t>
    </r>
    <r>
      <rPr>
        <b/>
        <sz val="11"/>
        <color theme="1"/>
        <rFont val="Aptos Narrow"/>
        <family val="2"/>
        <scheme val="minor"/>
      </rPr>
      <t>food inflation</t>
    </r>
    <r>
      <rPr>
        <sz val="11"/>
        <color theme="1"/>
        <rFont val="Aptos Narrow"/>
        <family val="2"/>
        <scheme val="minor"/>
      </rPr>
      <t xml:space="preserve"> driven by poor agricultural output and weather disruptions.</t>
    </r>
  </si>
  <si>
    <r>
      <t xml:space="preserve">3. Additional pressure from </t>
    </r>
    <r>
      <rPr>
        <b/>
        <sz val="11"/>
        <color theme="1"/>
        <rFont val="Aptos Narrow"/>
        <family val="2"/>
        <scheme val="minor"/>
      </rPr>
      <t>global oil prices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currency depreciation</t>
    </r>
    <r>
      <rPr>
        <sz val="11"/>
        <color theme="1"/>
        <rFont val="Aptos Narrow"/>
        <family val="2"/>
        <scheme val="minor"/>
      </rPr>
      <t xml:space="preserve">, and a </t>
    </r>
    <r>
      <rPr>
        <b/>
        <sz val="11"/>
        <color theme="1"/>
        <rFont val="Aptos Narrow"/>
        <family val="2"/>
        <scheme val="minor"/>
      </rPr>
      <t>low base effect</t>
    </r>
    <r>
      <rPr>
        <sz val="11"/>
        <color theme="1"/>
        <rFont val="Aptos Narrow"/>
        <family val="2"/>
        <scheme val="minor"/>
      </rPr>
      <t xml:space="preserve"> compounded the inflation spike.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</si>
</sst>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theme="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08">
    <xf numFmtId="0" fontId="0" fillId="0" borderId="0" xfId="0"/>
    <xf numFmtId="0" fontId="0" fillId="34" borderId="10" xfId="0" applyFont="1" applyFill="1" applyBorder="1"/>
    <xf numFmtId="0" fontId="0" fillId="0" borderId="10" xfId="0" applyFont="1" applyBorder="1"/>
    <xf numFmtId="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2" fontId="0" fillId="0" borderId="0" xfId="0" applyNumberFormat="1" applyBorder="1"/>
    <xf numFmtId="0" fontId="0" fillId="0" borderId="0" xfId="0" applyAlignment="1">
      <alignment wrapText="1"/>
    </xf>
    <xf numFmtId="0" fontId="0" fillId="0" borderId="0" xfId="0" applyNumberFormat="1" applyAlignment="1">
      <alignment horizontal="left" vertical="center" indent="1"/>
    </xf>
    <xf numFmtId="0" fontId="0" fillId="0" borderId="0" xfId="0" applyNumberFormat="1" applyAlignment="1">
      <alignment vertical="center"/>
    </xf>
    <xf numFmtId="0" fontId="13" fillId="33" borderId="10" xfId="0" applyFont="1" applyFill="1" applyBorder="1" applyAlignment="1">
      <alignment wrapText="1"/>
    </xf>
    <xf numFmtId="2" fontId="0" fillId="34" borderId="10" xfId="0" applyNumberFormat="1" applyFont="1" applyFill="1" applyBorder="1"/>
    <xf numFmtId="2" fontId="0" fillId="0" borderId="10" xfId="0" applyNumberFormat="1" applyFont="1" applyBorder="1"/>
    <xf numFmtId="0" fontId="0" fillId="0" borderId="0" xfId="0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/>
    <xf numFmtId="0" fontId="22" fillId="0" borderId="15" xfId="0" applyFont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4" xfId="0" applyFont="1" applyBorder="1" applyAlignment="1">
      <alignment vertical="center"/>
    </xf>
    <xf numFmtId="0" fontId="21" fillId="36" borderId="12" xfId="0" applyFont="1" applyFill="1" applyBorder="1" applyAlignment="1">
      <alignment horizontal="center"/>
    </xf>
    <xf numFmtId="0" fontId="21" fillId="36" borderId="11" xfId="0" applyFont="1" applyFill="1" applyBorder="1" applyAlignment="1">
      <alignment horizontal="center"/>
    </xf>
    <xf numFmtId="0" fontId="21" fillId="36" borderId="1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Border="1"/>
    <xf numFmtId="0" fontId="0" fillId="0" borderId="20" xfId="0" applyBorder="1"/>
    <xf numFmtId="0" fontId="0" fillId="0" borderId="2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6" fillId="0" borderId="21" xfId="0" applyFont="1" applyBorder="1"/>
    <xf numFmtId="0" fontId="16" fillId="0" borderId="22" xfId="0" applyFont="1" applyBorder="1"/>
    <xf numFmtId="2" fontId="0" fillId="0" borderId="18" xfId="0" applyNumberFormat="1" applyBorder="1"/>
    <xf numFmtId="0" fontId="0" fillId="0" borderId="11" xfId="0" pivotButton="1" applyBorder="1"/>
    <xf numFmtId="0" fontId="0" fillId="0" borderId="25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1" xfId="0" applyBorder="1"/>
    <xf numFmtId="0" fontId="0" fillId="0" borderId="20" xfId="0" pivotButton="1" applyBorder="1"/>
    <xf numFmtId="0" fontId="0" fillId="0" borderId="22" xfId="0" applyBorder="1"/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10" fontId="0" fillId="0" borderId="25" xfId="0" applyNumberFormat="1" applyBorder="1"/>
    <xf numFmtId="10" fontId="0" fillId="0" borderId="23" xfId="0" applyNumberFormat="1" applyBorder="1"/>
    <xf numFmtId="10" fontId="0" fillId="0" borderId="24" xfId="0" applyNumberFormat="1" applyBorder="1"/>
    <xf numFmtId="165" fontId="0" fillId="0" borderId="0" xfId="42" applyNumberFormat="1" applyFont="1"/>
    <xf numFmtId="0" fontId="0" fillId="0" borderId="12" xfId="0" pivotButton="1" applyBorder="1"/>
    <xf numFmtId="0" fontId="0" fillId="0" borderId="14" xfId="0" applyBorder="1"/>
    <xf numFmtId="0" fontId="0" fillId="0" borderId="21" xfId="0" pivotButton="1" applyBorder="1"/>
    <xf numFmtId="0" fontId="0" fillId="0" borderId="15" xfId="0" pivotButton="1" applyBorder="1"/>
    <xf numFmtId="0" fontId="0" fillId="0" borderId="0" xfId="0" applyNumberFormat="1" applyBorder="1"/>
    <xf numFmtId="0" fontId="0" fillId="0" borderId="18" xfId="0" applyNumberFormat="1" applyBorder="1"/>
    <xf numFmtId="0" fontId="24" fillId="40" borderId="0" xfId="0" applyFont="1" applyFill="1" applyBorder="1" applyAlignment="1">
      <alignment wrapText="1"/>
    </xf>
    <xf numFmtId="0" fontId="0" fillId="0" borderId="12" xfId="0" applyBorder="1"/>
    <xf numFmtId="0" fontId="0" fillId="0" borderId="13" xfId="0" applyBorder="1"/>
    <xf numFmtId="165" fontId="0" fillId="0" borderId="22" xfId="42" applyNumberFormat="1" applyFont="1" applyBorder="1"/>
    <xf numFmtId="165" fontId="0" fillId="0" borderId="16" xfId="42" applyNumberFormat="1" applyFont="1" applyBorder="1"/>
    <xf numFmtId="0" fontId="0" fillId="0" borderId="16" xfId="0" applyNumberFormat="1" applyBorder="1"/>
    <xf numFmtId="0" fontId="0" fillId="0" borderId="19" xfId="0" applyNumberFormat="1" applyBorder="1"/>
    <xf numFmtId="0" fontId="13" fillId="33" borderId="0" xfId="0" applyFont="1" applyFill="1" applyBorder="1" applyAlignment="1">
      <alignment wrapText="1"/>
    </xf>
    <xf numFmtId="0" fontId="13" fillId="33" borderId="0" xfId="0" applyFont="1" applyFill="1" applyBorder="1"/>
    <xf numFmtId="0" fontId="13" fillId="33" borderId="26" xfId="0" applyFont="1" applyFill="1" applyBorder="1" applyAlignment="1">
      <alignment wrapText="1"/>
    </xf>
    <xf numFmtId="0" fontId="13" fillId="33" borderId="26" xfId="0" applyFont="1" applyFill="1" applyBorder="1"/>
    <xf numFmtId="10" fontId="0" fillId="0" borderId="0" xfId="42" applyNumberFormat="1" applyFont="1" applyBorder="1"/>
    <xf numFmtId="0" fontId="0" fillId="42" borderId="0" xfId="0" applyFill="1"/>
    <xf numFmtId="0" fontId="0" fillId="0" borderId="0" xfId="0" applyBorder="1" applyAlignment="1">
      <alignment horizontal="left"/>
    </xf>
    <xf numFmtId="0" fontId="16" fillId="43" borderId="0" xfId="0" applyFont="1" applyFill="1" applyAlignment="1">
      <alignment horizontal="left"/>
    </xf>
    <xf numFmtId="0" fontId="0" fillId="0" borderId="27" xfId="0" applyFont="1" applyBorder="1"/>
    <xf numFmtId="2" fontId="0" fillId="0" borderId="28" xfId="0" applyNumberFormat="1" applyFont="1" applyBorder="1"/>
    <xf numFmtId="0" fontId="0" fillId="34" borderId="27" xfId="0" applyFont="1" applyFill="1" applyBorder="1"/>
    <xf numFmtId="2" fontId="0" fillId="34" borderId="28" xfId="0" applyNumberFormat="1" applyFont="1" applyFill="1" applyBorder="1"/>
    <xf numFmtId="0" fontId="0" fillId="34" borderId="29" xfId="0" applyFont="1" applyFill="1" applyBorder="1"/>
    <xf numFmtId="0" fontId="0" fillId="34" borderId="30" xfId="0" applyFont="1" applyFill="1" applyBorder="1"/>
    <xf numFmtId="2" fontId="0" fillId="34" borderId="30" xfId="0" applyNumberFormat="1" applyFont="1" applyFill="1" applyBorder="1"/>
    <xf numFmtId="2" fontId="0" fillId="34" borderId="31" xfId="0" applyNumberFormat="1" applyFont="1" applyFill="1" applyBorder="1"/>
    <xf numFmtId="9" fontId="0" fillId="34" borderId="13" xfId="42" applyFont="1" applyFill="1" applyBorder="1"/>
    <xf numFmtId="9" fontId="0" fillId="34" borderId="14" xfId="42" applyFont="1" applyFill="1" applyBorder="1"/>
    <xf numFmtId="0" fontId="0" fillId="0" borderId="33" xfId="0" applyFont="1" applyBorder="1"/>
    <xf numFmtId="0" fontId="0" fillId="0" borderId="26" xfId="0" applyFont="1" applyBorder="1"/>
    <xf numFmtId="2" fontId="0" fillId="0" borderId="26" xfId="0" applyNumberFormat="1" applyFont="1" applyBorder="1"/>
    <xf numFmtId="2" fontId="0" fillId="0" borderId="34" xfId="0" applyNumberFormat="1" applyFont="1" applyBorder="1"/>
    <xf numFmtId="0" fontId="13" fillId="33" borderId="12" xfId="0" applyFont="1" applyFill="1" applyBorder="1" applyAlignment="1">
      <alignment wrapText="1"/>
    </xf>
    <xf numFmtId="0" fontId="13" fillId="33" borderId="13" xfId="0" applyFont="1" applyFill="1" applyBorder="1" applyAlignment="1">
      <alignment wrapText="1"/>
    </xf>
    <xf numFmtId="0" fontId="13" fillId="33" borderId="13" xfId="0" applyFont="1" applyFill="1" applyBorder="1" applyAlignment="1">
      <alignment horizontal="center" wrapText="1"/>
    </xf>
    <xf numFmtId="0" fontId="13" fillId="33" borderId="14" xfId="0" applyFont="1" applyFill="1" applyBorder="1" applyAlignment="1">
      <alignment horizontal="center" wrapText="1"/>
    </xf>
    <xf numFmtId="9" fontId="16" fillId="34" borderId="13" xfId="42" applyFont="1" applyFill="1" applyBorder="1"/>
    <xf numFmtId="0" fontId="16" fillId="0" borderId="35" xfId="0" applyFont="1" applyBorder="1"/>
    <xf numFmtId="0" fontId="0" fillId="34" borderId="32" xfId="0" applyFont="1" applyFill="1" applyBorder="1"/>
    <xf numFmtId="2" fontId="0" fillId="34" borderId="32" xfId="0" applyNumberFormat="1" applyFont="1" applyFill="1" applyBorder="1"/>
    <xf numFmtId="0" fontId="0" fillId="0" borderId="32" xfId="0" applyFont="1" applyBorder="1"/>
    <xf numFmtId="2" fontId="0" fillId="0" borderId="32" xfId="0" applyNumberFormat="1" applyFont="1" applyBorder="1"/>
    <xf numFmtId="10" fontId="0" fillId="34" borderId="32" xfId="42" applyNumberFormat="1" applyFont="1" applyFill="1" applyBorder="1"/>
    <xf numFmtId="0" fontId="0" fillId="34" borderId="0" xfId="0" applyNumberFormat="1" applyFont="1" applyFill="1" applyBorder="1"/>
    <xf numFmtId="0" fontId="13" fillId="33" borderId="0" xfId="0" applyFont="1" applyFill="1"/>
    <xf numFmtId="10" fontId="0" fillId="0" borderId="32" xfId="42" applyNumberFormat="1" applyFont="1" applyFill="1" applyBorder="1"/>
    <xf numFmtId="0" fontId="0" fillId="45" borderId="32" xfId="0" applyFont="1" applyFill="1" applyBorder="1"/>
    <xf numFmtId="2" fontId="0" fillId="45" borderId="32" xfId="0" applyNumberFormat="1" applyFont="1" applyFill="1" applyBorder="1"/>
    <xf numFmtId="0" fontId="0" fillId="45" borderId="0" xfId="0" applyNumberFormat="1" applyFont="1" applyFill="1" applyBorder="1"/>
    <xf numFmtId="2" fontId="0" fillId="34" borderId="37" xfId="0" applyNumberFormat="1" applyFont="1" applyFill="1" applyBorder="1"/>
    <xf numFmtId="2" fontId="0" fillId="0" borderId="37" xfId="0" applyNumberFormat="1" applyFont="1" applyBorder="1"/>
    <xf numFmtId="0" fontId="13" fillId="33" borderId="26" xfId="0" applyFont="1" applyFill="1" applyBorder="1" applyAlignment="1">
      <alignment horizontal="center" wrapText="1"/>
    </xf>
    <xf numFmtId="0" fontId="26" fillId="33" borderId="26" xfId="0" applyFont="1" applyFill="1" applyBorder="1" applyAlignment="1">
      <alignment horizontal="center" wrapText="1"/>
    </xf>
    <xf numFmtId="0" fontId="13" fillId="33" borderId="38" xfId="0" applyFont="1" applyFill="1" applyBorder="1" applyAlignment="1">
      <alignment horizontal="center" wrapText="1"/>
    </xf>
    <xf numFmtId="2" fontId="0" fillId="34" borderId="39" xfId="0" applyNumberFormat="1" applyFont="1" applyFill="1" applyBorder="1"/>
    <xf numFmtId="165" fontId="0" fillId="34" borderId="10" xfId="42" applyNumberFormat="1" applyFont="1" applyFill="1" applyBorder="1"/>
    <xf numFmtId="165" fontId="0" fillId="0" borderId="10" xfId="42" applyNumberFormat="1" applyFont="1" applyBorder="1"/>
    <xf numFmtId="165" fontId="0" fillId="34" borderId="32" xfId="42" applyNumberFormat="1" applyFont="1" applyFill="1" applyBorder="1"/>
    <xf numFmtId="0" fontId="16" fillId="0" borderId="0" xfId="0" applyFont="1" applyBorder="1"/>
    <xf numFmtId="165" fontId="0" fillId="0" borderId="0" xfId="42" applyNumberFormat="1" applyFont="1" applyBorder="1"/>
    <xf numFmtId="0" fontId="0" fillId="0" borderId="0" xfId="0" applyAlignment="1">
      <alignment horizontal="left" vertical="center" indent="1"/>
    </xf>
    <xf numFmtId="0" fontId="0" fillId="0" borderId="15" xfId="0" applyBorder="1" applyAlignment="1">
      <alignment vertical="center"/>
    </xf>
    <xf numFmtId="0" fontId="0" fillId="0" borderId="15" xfId="0" applyBorder="1" applyAlignment="1">
      <alignment horizontal="left" vertical="center" indent="1"/>
    </xf>
    <xf numFmtId="0" fontId="0" fillId="0" borderId="17" xfId="0" applyBorder="1" applyAlignment="1">
      <alignment vertical="center"/>
    </xf>
    <xf numFmtId="0" fontId="0" fillId="46" borderId="21" xfId="0" applyFill="1" applyBorder="1"/>
    <xf numFmtId="0" fontId="0" fillId="46" borderId="22" xfId="0" applyFill="1" applyBorder="1"/>
    <xf numFmtId="0" fontId="27" fillId="46" borderId="20" xfId="0" applyFont="1" applyFill="1" applyBorder="1" applyAlignment="1"/>
    <xf numFmtId="0" fontId="28" fillId="0" borderId="15" xfId="0" applyFont="1" applyBorder="1"/>
    <xf numFmtId="0" fontId="0" fillId="0" borderId="0" xfId="0" applyAlignment="1">
      <alignment horizontal="left" vertical="center" indent="2"/>
    </xf>
    <xf numFmtId="0" fontId="27" fillId="46" borderId="12" xfId="0" applyFont="1" applyFill="1" applyBorder="1"/>
    <xf numFmtId="0" fontId="0" fillId="46" borderId="13" xfId="0" applyFill="1" applyBorder="1"/>
    <xf numFmtId="0" fontId="0" fillId="46" borderId="14" xfId="0" applyFill="1" applyBorder="1"/>
    <xf numFmtId="0" fontId="28" fillId="0" borderId="15" xfId="0" applyFont="1" applyBorder="1" applyAlignment="1">
      <alignment horizontal="left" vertical="center" indent="1"/>
    </xf>
    <xf numFmtId="0" fontId="0" fillId="0" borderId="0" xfId="0" applyBorder="1" applyAlignment="1"/>
    <xf numFmtId="0" fontId="0" fillId="0" borderId="16" xfId="0" applyBorder="1" applyAlignment="1"/>
    <xf numFmtId="0" fontId="16" fillId="0" borderId="15" xfId="0" applyFont="1" applyBorder="1" applyAlignment="1">
      <alignment vertical="center"/>
    </xf>
    <xf numFmtId="0" fontId="0" fillId="0" borderId="18" xfId="0" applyBorder="1" applyAlignment="1"/>
    <xf numFmtId="0" fontId="0" fillId="0" borderId="19" xfId="0" applyBorder="1" applyAlignment="1"/>
    <xf numFmtId="0" fontId="29" fillId="46" borderId="11" xfId="0" applyFont="1" applyFill="1" applyBorder="1" applyAlignment="1">
      <alignment vertical="center"/>
    </xf>
    <xf numFmtId="0" fontId="20" fillId="35" borderId="12" xfId="0" applyFont="1" applyFill="1" applyBorder="1" applyAlignment="1">
      <alignment horizontal="center"/>
    </xf>
    <xf numFmtId="0" fontId="20" fillId="35" borderId="13" xfId="0" applyFont="1" applyFill="1" applyBorder="1" applyAlignment="1">
      <alignment horizontal="center"/>
    </xf>
    <xf numFmtId="0" fontId="20" fillId="35" borderId="14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13" xfId="0" applyFont="1" applyFill="1" applyBorder="1" applyAlignment="1">
      <alignment horizontal="center"/>
    </xf>
    <xf numFmtId="0" fontId="23" fillId="35" borderId="14" xfId="0" applyFont="1" applyFill="1" applyBorder="1" applyAlignment="1">
      <alignment horizontal="center"/>
    </xf>
    <xf numFmtId="0" fontId="25" fillId="38" borderId="17" xfId="0" applyFont="1" applyFill="1" applyBorder="1" applyAlignment="1">
      <alignment horizontal="left"/>
    </xf>
    <xf numFmtId="0" fontId="25" fillId="38" borderId="18" xfId="0" applyFont="1" applyFill="1" applyBorder="1" applyAlignment="1">
      <alignment horizontal="left"/>
    </xf>
    <xf numFmtId="0" fontId="25" fillId="38" borderId="19" xfId="0" applyFont="1" applyFill="1" applyBorder="1" applyAlignment="1">
      <alignment horizontal="left"/>
    </xf>
    <xf numFmtId="0" fontId="20" fillId="39" borderId="15" xfId="0" applyFont="1" applyFill="1" applyBorder="1" applyAlignment="1">
      <alignment horizontal="left" wrapText="1"/>
    </xf>
    <xf numFmtId="0" fontId="20" fillId="39" borderId="0" xfId="0" applyFont="1" applyFill="1" applyBorder="1" applyAlignment="1">
      <alignment horizontal="left" wrapText="1"/>
    </xf>
    <xf numFmtId="0" fontId="20" fillId="39" borderId="16" xfId="0" applyFont="1" applyFill="1" applyBorder="1" applyAlignment="1">
      <alignment horizontal="left" wrapText="1"/>
    </xf>
    <xf numFmtId="0" fontId="20" fillId="35" borderId="12" xfId="0" applyFont="1" applyFill="1" applyBorder="1" applyAlignment="1">
      <alignment horizontal="left"/>
    </xf>
    <xf numFmtId="0" fontId="20" fillId="35" borderId="13" xfId="0" applyFont="1" applyFill="1" applyBorder="1" applyAlignment="1">
      <alignment horizontal="left"/>
    </xf>
    <xf numFmtId="0" fontId="20" fillId="35" borderId="14" xfId="0" applyFont="1" applyFill="1" applyBorder="1" applyAlignment="1">
      <alignment horizontal="left"/>
    </xf>
    <xf numFmtId="0" fontId="25" fillId="39" borderId="15" xfId="0" applyFont="1" applyFill="1" applyBorder="1" applyAlignment="1">
      <alignment horizontal="left"/>
    </xf>
    <xf numFmtId="0" fontId="25" fillId="39" borderId="0" xfId="0" applyFont="1" applyFill="1" applyBorder="1" applyAlignment="1">
      <alignment horizontal="left"/>
    </xf>
    <xf numFmtId="0" fontId="25" fillId="39" borderId="16" xfId="0" applyFont="1" applyFill="1" applyBorder="1" applyAlignment="1">
      <alignment horizontal="left"/>
    </xf>
    <xf numFmtId="0" fontId="25" fillId="37" borderId="15" xfId="0" applyFont="1" applyFill="1" applyBorder="1" applyAlignment="1">
      <alignment horizontal="left"/>
    </xf>
    <xf numFmtId="0" fontId="25" fillId="37" borderId="0" xfId="0" applyFont="1" applyFill="1" applyBorder="1" applyAlignment="1">
      <alignment horizontal="left"/>
    </xf>
    <xf numFmtId="0" fontId="25" fillId="37" borderId="16" xfId="0" applyFont="1" applyFill="1" applyBorder="1" applyAlignment="1">
      <alignment horizontal="left"/>
    </xf>
    <xf numFmtId="0" fontId="0" fillId="41" borderId="12" xfId="0" applyFill="1" applyBorder="1" applyAlignment="1">
      <alignment horizontal="left" wrapText="1"/>
    </xf>
    <xf numFmtId="0" fontId="0" fillId="41" borderId="13" xfId="0" applyFill="1" applyBorder="1" applyAlignment="1">
      <alignment horizontal="left" wrapText="1"/>
    </xf>
    <xf numFmtId="0" fontId="0" fillId="41" borderId="14" xfId="0" applyFill="1" applyBorder="1" applyAlignment="1">
      <alignment horizontal="left" wrapText="1"/>
    </xf>
    <xf numFmtId="0" fontId="0" fillId="37" borderId="0" xfId="0" applyFill="1" applyAlignment="1">
      <alignment horizontal="left" vertical="center"/>
    </xf>
    <xf numFmtId="0" fontId="0" fillId="44" borderId="12" xfId="0" applyFont="1" applyFill="1" applyBorder="1" applyAlignment="1">
      <alignment horizontal="center"/>
    </xf>
    <xf numFmtId="0" fontId="0" fillId="44" borderId="13" xfId="0" applyFont="1" applyFill="1" applyBorder="1" applyAlignment="1">
      <alignment horizontal="center"/>
    </xf>
    <xf numFmtId="0" fontId="16" fillId="39" borderId="0" xfId="0" applyFont="1" applyFill="1" applyAlignment="1">
      <alignment horizontal="left"/>
    </xf>
    <xf numFmtId="0" fontId="16" fillId="37" borderId="0" xfId="0" applyFont="1" applyFill="1" applyAlignment="1">
      <alignment horizontal="left" vertical="center"/>
    </xf>
    <xf numFmtId="10" fontId="1" fillId="37" borderId="0" xfId="42" applyNumberFormat="1" applyFont="1" applyFill="1" applyAlignment="1">
      <alignment horizontal="left" vertical="center"/>
    </xf>
    <xf numFmtId="0" fontId="16" fillId="39" borderId="0" xfId="0" applyFont="1" applyFill="1" applyAlignment="1">
      <alignment horizontal="left" vertical="center"/>
    </xf>
    <xf numFmtId="0" fontId="16" fillId="0" borderId="15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6" fillId="0" borderId="16" xfId="0" applyFont="1" applyBorder="1" applyAlignment="1">
      <alignment vertical="center" wrapText="1"/>
    </xf>
    <xf numFmtId="0" fontId="16" fillId="0" borderId="36" xfId="0" applyFont="1" applyBorder="1" applyAlignment="1">
      <alignment horizontal="left" wrapText="1"/>
    </xf>
    <xf numFmtId="0" fontId="16" fillId="0" borderId="0" xfId="0" applyFont="1" applyBorder="1" applyAlignment="1">
      <alignment horizontal="left" wrapText="1"/>
    </xf>
    <xf numFmtId="0" fontId="0" fillId="0" borderId="15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5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46" borderId="0" xfId="0" applyFill="1" applyAlignment="1">
      <alignment horizontal="left"/>
    </xf>
    <xf numFmtId="0" fontId="0" fillId="0" borderId="1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wrapText="1"/>
    </xf>
    <xf numFmtId="0" fontId="0" fillId="0" borderId="21" xfId="0" applyBorder="1" applyAlignment="1">
      <alignment horizontal="left" wrapText="1"/>
    </xf>
    <xf numFmtId="0" fontId="0" fillId="0" borderId="22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6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0" fillId="0" borderId="19" xfId="0" applyBorder="1" applyAlignment="1">
      <alignment horizontal="left" wrapText="1"/>
    </xf>
    <xf numFmtId="0" fontId="0" fillId="46" borderId="11" xfId="0" applyFill="1" applyBorder="1"/>
    <xf numFmtId="0" fontId="28" fillId="46" borderId="25" xfId="0" applyFont="1" applyFill="1" applyBorder="1"/>
    <xf numFmtId="0" fontId="16" fillId="0" borderId="12" xfId="0" applyFont="1" applyBorder="1" applyAlignment="1">
      <alignment horizontal="left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6" xfId="0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41"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</dxf>
    <dxf>
      <border>
        <bottom style="medium">
          <color indexed="64"/>
        </bottom>
      </border>
    </dxf>
    <dxf>
      <border diagonalUp="0" diagonalDown="0">
        <left/>
        <right/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4" formatCode="0.0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[All_India_CPI_Upto_April23 Case study.xlsx]Problem statement 1!PivotTable2</c:name>
    <c:fmtId val="11"/>
  </c:pivotSource>
  <c:chart>
    <c:title>
      <c:layout>
        <c:manualLayout>
          <c:xMode val="edge"/>
          <c:yMode val="edge"/>
          <c:x val="0.39297570430321094"/>
          <c:y val="5.27060048270846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2423865927689331E-2"/>
              <c:y val="-6.4546432818359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976815398075243E-2"/>
              <c:y val="7.57965150189559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387839020122486"/>
              <c:y val="-1.93533100029163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387839020122486"/>
              <c:y val="-1.93533100029163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976815398075243E-2"/>
              <c:y val="7.57965150189559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2423865927689331E-2"/>
              <c:y val="-6.4546432818359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387839020122486"/>
              <c:y val="-1.93533100029163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976815398075243E-2"/>
              <c:y val="7.57965150189559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2423865927689331E-2"/>
              <c:y val="-6.4546432818359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387839020122486"/>
              <c:y val="-1.93533100029163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976815398075243E-2"/>
              <c:y val="7.57965150189559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2423865927689331E-2"/>
              <c:y val="-6.4546432818359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387839020122486"/>
              <c:y val="-1.93533100029163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976815398075243E-2"/>
              <c:y val="7.57965150189559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12963560301919E-2"/>
              <c:y val="1.08860978027004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2423865927689331E-2"/>
              <c:y val="-6.4546432818359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387839020122486"/>
              <c:y val="-1.93533100029163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976815398075243E-2"/>
              <c:y val="7.57965150189559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12963560301919E-2"/>
              <c:y val="1.08860978027004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2423865927689331E-2"/>
              <c:y val="-6.4546432818359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0.13387839020122486"/>
              <c:y val="-1.935331000291630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7.6976815398075243E-2"/>
              <c:y val="7.57965150189559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2.12963560301919E-2"/>
              <c:y val="1.08860978027004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2423865927689331E-2"/>
              <c:y val="-6.4546432818359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5.4483378078616064E-2"/>
          <c:y val="0.21875387402759502"/>
          <c:w val="0.44740833006634867"/>
          <c:h val="0.69420803518560292"/>
        </c:manualLayout>
      </c:layout>
      <c:pieChart>
        <c:varyColors val="1"/>
        <c:ser>
          <c:idx val="0"/>
          <c:order val="0"/>
          <c:tx>
            <c:strRef>
              <c:f>'Problem statement 1'!$K$11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675-4EDE-80F6-A6BA03F1232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675-4EDE-80F6-A6BA03F1232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675-4EDE-80F6-A6BA03F1232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675-4EDE-80F6-A6BA03F1232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675-4EDE-80F6-A6BA03F1232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675-4EDE-80F6-A6BA03F1232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675-4EDE-80F6-A6BA03F1232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675-4EDE-80F6-A6BA03F1232E}"/>
              </c:ext>
            </c:extLst>
          </c:dPt>
          <c:dLbls>
            <c:dLbl>
              <c:idx val="0"/>
              <c:layout>
                <c:manualLayout>
                  <c:x val="-0.13387839020122486"/>
                  <c:y val="-1.935331000291630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675-4EDE-80F6-A6BA03F1232E}"/>
                </c:ext>
              </c:extLst>
            </c:dLbl>
            <c:dLbl>
              <c:idx val="4"/>
              <c:layout>
                <c:manualLayout>
                  <c:x val="7.6976815398075243E-2"/>
                  <c:y val="7.57965150189559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675-4EDE-80F6-A6BA03F1232E}"/>
                </c:ext>
              </c:extLst>
            </c:dLbl>
            <c:dLbl>
              <c:idx val="5"/>
              <c:layout>
                <c:manualLayout>
                  <c:x val="-2.12963560301919E-2"/>
                  <c:y val="1.088609780270047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675-4EDE-80F6-A6BA03F1232E}"/>
                </c:ext>
              </c:extLst>
            </c:dLbl>
            <c:dLbl>
              <c:idx val="6"/>
              <c:layout>
                <c:manualLayout>
                  <c:x val="-3.2423865927689331E-2"/>
                  <c:y val="-6.454643281835924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675-4EDE-80F6-A6BA03F1232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'Problem statement 1'!$J$12:$J$20</c:f>
              <c:strCache>
                <c:ptCount val="8"/>
                <c:pt idx="0">
                  <c:v>Food &amp; Beverages</c:v>
                </c:pt>
                <c:pt idx="1">
                  <c:v>Clothing and Footwear</c:v>
                </c:pt>
                <c:pt idx="2">
                  <c:v>Recreation and miscellaneous</c:v>
                </c:pt>
                <c:pt idx="3">
                  <c:v>Health and Personal care</c:v>
                </c:pt>
                <c:pt idx="4">
                  <c:v>Housing and Household</c:v>
                </c:pt>
                <c:pt idx="5">
                  <c:v>Energy</c:v>
                </c:pt>
                <c:pt idx="6">
                  <c:v>Education</c:v>
                </c:pt>
                <c:pt idx="7">
                  <c:v>Transportation</c:v>
                </c:pt>
              </c:strCache>
            </c:strRef>
          </c:cat>
          <c:val>
            <c:numRef>
              <c:f>'Problem statement 1'!$K$12:$K$20</c:f>
              <c:numCache>
                <c:formatCode>0.00%</c:formatCode>
                <c:ptCount val="8"/>
                <c:pt idx="0">
                  <c:v>0.49563853557923693</c:v>
                </c:pt>
                <c:pt idx="1">
                  <c:v>0.11885527672739775</c:v>
                </c:pt>
                <c:pt idx="2">
                  <c:v>0.11771656926778962</c:v>
                </c:pt>
                <c:pt idx="3">
                  <c:v>7.9688037126160197E-2</c:v>
                </c:pt>
                <c:pt idx="4">
                  <c:v>7.5369542798212438E-2</c:v>
                </c:pt>
                <c:pt idx="5">
                  <c:v>3.9274664833276046E-2</c:v>
                </c:pt>
                <c:pt idx="6">
                  <c:v>3.8050017188037126E-2</c:v>
                </c:pt>
                <c:pt idx="7">
                  <c:v>3.5407356479890004E-2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675-4EDE-80F6-A6BA03F1232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415460133023632"/>
          <c:y val="9.609201721549826E-2"/>
          <c:w val="0.41720682651158331"/>
          <c:h val="0.82891145737685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'Problem statement 2'!$E$16</c:f>
              <c:strCache>
                <c:ptCount val="1"/>
                <c:pt idx="0">
                  <c:v>Y-o-Y Inflation Rate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'Problem statement 2'!$B$17:$B$23</c15:sqref>
                  </c15:fullRef>
                </c:ext>
              </c:extLst>
              <c:f>'Problem statement 2'!$B$18:$B$23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'Problem statement 2'!$E$17:$E$23</c15:sqref>
                  </c15:fullRef>
                </c:ext>
              </c:extLst>
              <c:f>'Problem statement 2'!$E$18:$E$23</c:f>
              <c:numCache>
                <c:formatCode>0.0%</c:formatCode>
                <c:ptCount val="6"/>
                <c:pt idx="0">
                  <c:v>5.295471987720627E-2</c:v>
                </c:pt>
                <c:pt idx="1">
                  <c:v>2.3374726077428697E-2</c:v>
                </c:pt>
                <c:pt idx="2">
                  <c:v>7.7363896848137617E-2</c:v>
                </c:pt>
                <c:pt idx="3">
                  <c:v>5.7922769640479481E-2</c:v>
                </c:pt>
                <c:pt idx="4">
                  <c:v>5.657978385251098E-2</c:v>
                </c:pt>
                <c:pt idx="5">
                  <c:v>6.0350030175015092E-2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8A-4640-A88D-63793B3D33B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56416671"/>
        <c:axId val="8564195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'Problem statement 2'!$C$16</c15:sqref>
                        </c15:formulaRef>
                      </c:ext>
                    </c:extLst>
                    <c:strCache>
                      <c:ptCount val="1"/>
                      <c:pt idx="0">
                        <c:v>January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'Problem statement 2'!$B$17:$B$23</c15:sqref>
                        </c15:fullRef>
                        <c15:formulaRef>
                          <c15:sqref>'Problem statement 2'!$B$18:$B$23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'Problem statement 2'!$C$17:$C$23</c15:sqref>
                        </c15:fullRef>
                        <c15:formulaRef>
                          <c15:sqref>'Problem statement 2'!$C$18:$C$23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130.30000000000001</c:v>
                      </c:pt>
                      <c:pt idx="1">
                        <c:v>136.9</c:v>
                      </c:pt>
                      <c:pt idx="2">
                        <c:v>139.6</c:v>
                      </c:pt>
                      <c:pt idx="3">
                        <c:v>150.19999999999999</c:v>
                      </c:pt>
                      <c:pt idx="4">
                        <c:v>157.30000000000001</c:v>
                      </c:pt>
                      <c:pt idx="5">
                        <c:v>165.7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ED8A-4640-A88D-63793B3D33B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2'!$D$16</c15:sqref>
                        </c15:formulaRef>
                      </c:ext>
                    </c:extLst>
                    <c:strCache>
                      <c:ptCount val="1"/>
                      <c:pt idx="0">
                        <c:v>December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'Problem statement 2'!$B$17:$B$23</c15:sqref>
                        </c15:fullRef>
                        <c15:formulaRef>
                          <c15:sqref>'Problem statement 2'!$B$18:$B$23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2017</c:v>
                      </c:pt>
                      <c:pt idx="1">
                        <c:v>2018</c:v>
                      </c:pt>
                      <c:pt idx="2">
                        <c:v>2019</c:v>
                      </c:pt>
                      <c:pt idx="3">
                        <c:v>2020</c:v>
                      </c:pt>
                      <c:pt idx="4">
                        <c:v>2021</c:v>
                      </c:pt>
                      <c:pt idx="5">
                        <c:v>2022</c:v>
                      </c:pt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'Problem statement 2'!$D$17:$D$23</c15:sqref>
                        </c15:fullRef>
                        <c15:formulaRef>
                          <c15:sqref>'Problem statement 2'!$D$18:$D$23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137.19999999999999</c:v>
                      </c:pt>
                      <c:pt idx="1">
                        <c:v>140.1</c:v>
                      </c:pt>
                      <c:pt idx="2">
                        <c:v>150.4</c:v>
                      </c:pt>
                      <c:pt idx="3">
                        <c:v>158.9</c:v>
                      </c:pt>
                      <c:pt idx="4">
                        <c:v>166.2</c:v>
                      </c:pt>
                      <c:pt idx="5">
                        <c:v>175.7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D8A-4640-A88D-63793B3D33B1}"/>
                  </c:ext>
                </c:extLst>
              </c15:ser>
            </c15:filteredLineSeries>
          </c:ext>
        </c:extLst>
      </c:lineChart>
      <c:catAx>
        <c:axId val="85641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19551"/>
        <c:crosses val="autoZero"/>
        <c:auto val="1"/>
        <c:lblAlgn val="ctr"/>
        <c:lblOffset val="100"/>
        <c:noMultiLvlLbl val="0"/>
      </c:catAx>
      <c:valAx>
        <c:axId val="85641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1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1488646223748786E-2"/>
          <c:y val="0.11891857932652038"/>
          <c:w val="0.84751178222063805"/>
          <c:h val="0.60898419612442056"/>
        </c:manualLayout>
      </c:layout>
      <c:barChart>
        <c:barDir val="col"/>
        <c:grouping val="clustered"/>
        <c:varyColors val="0"/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2359583"/>
        <c:axId val="10023730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'Problem statement 3'!$E$11</c15:sqref>
                        </c15:formulaRef>
                      </c:ext>
                    </c:extLst>
                    <c:strCache>
                      <c:ptCount val="1"/>
                      <c:pt idx="0">
                        <c:v>Food &amp; Beverages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'Problem statement 3'!$B$12:$D$23</c15:sqref>
                        </c15:fullRef>
                        <c15:levelRef>
                          <c15:sqref>'Problem statement 3'!$D$12:$D$23</c15:sqref>
                        </c15:levelRef>
                        <c15:formulaRef>
                          <c15:sqref>'Problem statement 3'!$D$12:$D$23</c15:sqref>
                        </c15:formulaRef>
                      </c:ext>
                    </c:extLst>
                    <c:strCache>
                      <c:ptCount val="12"/>
                      <c:pt idx="0">
                        <c:v>June</c:v>
                      </c:pt>
                      <c:pt idx="1">
                        <c:v>July</c:v>
                      </c:pt>
                      <c:pt idx="2">
                        <c:v>August</c:v>
                      </c:pt>
                      <c:pt idx="3">
                        <c:v>September</c:v>
                      </c:pt>
                      <c:pt idx="4">
                        <c:v>October</c:v>
                      </c:pt>
                      <c:pt idx="5">
                        <c:v>November</c:v>
                      </c:pt>
                      <c:pt idx="6">
                        <c:v>December</c:v>
                      </c:pt>
                      <c:pt idx="7">
                        <c:v>January</c:v>
                      </c:pt>
                      <c:pt idx="8">
                        <c:v>February</c:v>
                      </c:pt>
                      <c:pt idx="9">
                        <c:v>March</c:v>
                      </c:pt>
                      <c:pt idx="10">
                        <c:v>April</c:v>
                      </c:pt>
                      <c:pt idx="11">
                        <c:v>May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'Problem statement 3'!$E$12:$E$23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2261.9</c:v>
                      </c:pt>
                      <c:pt idx="1">
                        <c:v>2266.3000000000002</c:v>
                      </c:pt>
                      <c:pt idx="2">
                        <c:v>2269.2000000000003</c:v>
                      </c:pt>
                      <c:pt idx="3">
                        <c:v>2280.9</c:v>
                      </c:pt>
                      <c:pt idx="4">
                        <c:v>2297.3000000000002</c:v>
                      </c:pt>
                      <c:pt idx="5">
                        <c:v>2296.8000000000002</c:v>
                      </c:pt>
                      <c:pt idx="6">
                        <c:v>2283.4</c:v>
                      </c:pt>
                      <c:pt idx="7">
                        <c:v>2292.6999999999998</c:v>
                      </c:pt>
                      <c:pt idx="8">
                        <c:v>2279.1</c:v>
                      </c:pt>
                      <c:pt idx="9">
                        <c:v>2279.1999999999998</c:v>
                      </c:pt>
                      <c:pt idx="10">
                        <c:v>2289.6000000000004</c:v>
                      </c:pt>
                      <c:pt idx="11">
                        <c:v>2306.9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714E-45FC-BAB5-A289B3D0869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1"/>
          <c:tx>
            <c:strRef>
              <c:f>'Problem statement 3'!$F$11</c:f>
              <c:strCache>
                <c:ptCount val="1"/>
                <c:pt idx="0">
                  <c:v>M-o-M Inflation Rate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6.3701443569553803E-2"/>
                  <c:y val="-4.36957178885133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14E-45FC-BAB5-A289B3D0869C}"/>
                </c:ext>
              </c:extLst>
            </c:dLbl>
            <c:dLbl>
              <c:idx val="6"/>
              <c:layout>
                <c:manualLayout>
                  <c:x val="-0.10587562871513488"/>
                  <c:y val="1.799575584966642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14E-45FC-BAB5-A289B3D0869C}"/>
                </c:ext>
              </c:extLst>
            </c:dLbl>
            <c:dLbl>
              <c:idx val="8"/>
              <c:layout>
                <c:manualLayout>
                  <c:x val="-1.213991769547325E-2"/>
                  <c:y val="1.9530072038867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4E-45FC-BAB5-A289B3D0869C}"/>
                </c:ext>
              </c:extLst>
            </c:dLbl>
            <c:dLbl>
              <c:idx val="9"/>
              <c:layout>
                <c:manualLayout>
                  <c:x val="-8.6722724474255622E-2"/>
                  <c:y val="-3.72075166136147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4E-45FC-BAB5-A289B3D0869C}"/>
                </c:ext>
              </c:extLst>
            </c:dLbl>
            <c:dLbl>
              <c:idx val="10"/>
              <c:layout>
                <c:manualLayout>
                  <c:x val="-8.6722724474255539E-2"/>
                  <c:y val="-1.947702015971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14E-45FC-BAB5-A289B3D086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'Problem statement 3'!$B$12:$D$23</c15:sqref>
                  </c15:fullRef>
                  <c15:levelRef>
                    <c15:sqref>'Problem statement 3'!$D$12:$D$23</c15:sqref>
                  </c15:levelRef>
                </c:ext>
              </c:extLst>
              <c:f>'Problem statement 3'!$D$12:$D$23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'Problem statement 3'!$F$12:$F$23</c:f>
              <c:numCache>
                <c:formatCode>0.00%</c:formatCode>
                <c:ptCount val="12"/>
                <c:pt idx="1">
                  <c:v>1.9414905352336807E-3</c:v>
                </c:pt>
                <c:pt idx="2">
                  <c:v>1.2779834302838404E-3</c:v>
                </c:pt>
                <c:pt idx="3">
                  <c:v>5.129554123372273E-3</c:v>
                </c:pt>
                <c:pt idx="4">
                  <c:v>7.1388151308057679E-3</c:v>
                </c:pt>
                <c:pt idx="5">
                  <c:v>-2.1769418321142457E-4</c:v>
                </c:pt>
                <c:pt idx="6">
                  <c:v>-5.8684417973198259E-3</c:v>
                </c:pt>
                <c:pt idx="7">
                  <c:v>4.0563527718409419E-3</c:v>
                </c:pt>
                <c:pt idx="8">
                  <c:v>-5.9672677811416393E-3</c:v>
                </c:pt>
                <c:pt idx="9">
                  <c:v>4.3875043875003974E-5</c:v>
                </c:pt>
                <c:pt idx="10">
                  <c:v>4.5422781271840249E-3</c:v>
                </c:pt>
                <c:pt idx="11">
                  <c:v>7.4992414062160159E-3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4E-45FC-BAB5-A289B3D086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02373503"/>
        <c:axId val="1002375423"/>
      </c:lineChart>
      <c:catAx>
        <c:axId val="1002359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73023"/>
        <c:crosses val="autoZero"/>
        <c:auto val="1"/>
        <c:lblAlgn val="ctr"/>
        <c:lblOffset val="100"/>
        <c:noMultiLvlLbl val="0"/>
      </c:catAx>
      <c:valAx>
        <c:axId val="100237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59583"/>
        <c:crosses val="autoZero"/>
        <c:crossBetween val="between"/>
      </c:valAx>
      <c:valAx>
        <c:axId val="1002375423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73503"/>
        <c:crosses val="max"/>
        <c:crossBetween val="between"/>
      </c:valAx>
      <c:catAx>
        <c:axId val="10023735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23754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2"/>
          <c:order val="12"/>
          <c:tx>
            <c:strRef>
              <c:f>'Problem statement 3'!$B$47</c:f>
              <c:strCache>
                <c:ptCount val="1"/>
                <c:pt idx="0">
                  <c:v>Inflation for each category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'Problem statement 3'!$C$34:$Q$34</c:f>
              <c:strCache>
                <c:ptCount val="15"/>
                <c:pt idx="0">
                  <c:v>Year</c:v>
                </c:pt>
                <c:pt idx="1">
                  <c:v>Month</c:v>
                </c:pt>
                <c:pt idx="2">
                  <c:v>Cereals and products</c:v>
                </c:pt>
                <c:pt idx="3">
                  <c:v>Meat and fish</c:v>
                </c:pt>
                <c:pt idx="4">
                  <c:v>Egg</c:v>
                </c:pt>
                <c:pt idx="5">
                  <c:v>Milk and products</c:v>
                </c:pt>
                <c:pt idx="6">
                  <c:v>Oils and fats</c:v>
                </c:pt>
                <c:pt idx="7">
                  <c:v>Fruits</c:v>
                </c:pt>
                <c:pt idx="8">
                  <c:v>Vegetables</c:v>
                </c:pt>
                <c:pt idx="9">
                  <c:v>Pulses and products</c:v>
                </c:pt>
                <c:pt idx="10">
                  <c:v>Sugar and Confectionery</c:v>
                </c:pt>
                <c:pt idx="11">
                  <c:v>Spices</c:v>
                </c:pt>
                <c:pt idx="12">
                  <c:v>Non-alcoholic beverages</c:v>
                </c:pt>
                <c:pt idx="13">
                  <c:v>Prepared meals, snacks, sweets etc.</c:v>
                </c:pt>
                <c:pt idx="14">
                  <c:v>Food and beverages</c:v>
                </c:pt>
              </c:strCache>
            </c:strRef>
          </c:cat>
          <c:val>
            <c:numRef>
              <c:f>'Problem statement 3'!$C$47:$Q$47</c:f>
              <c:numCache>
                <c:formatCode>General</c:formatCode>
                <c:ptCount val="15"/>
                <c:pt idx="2" formatCode="0%">
                  <c:v>0.1206451612903225</c:v>
                </c:pt>
                <c:pt idx="3" formatCode="0%">
                  <c:v>-2.3245214220601614E-2</c:v>
                </c:pt>
                <c:pt idx="4" formatCode="0%">
                  <c:v>1.4051522248243426E-2</c:v>
                </c:pt>
                <c:pt idx="5" formatCode="0%">
                  <c:v>8.2629674306393175E-2</c:v>
                </c:pt>
                <c:pt idx="6" formatCode="0%">
                  <c:v>-0.15380786460925835</c:v>
                </c:pt>
                <c:pt idx="7" formatCode="0%">
                  <c:v>1.4731879787860933E-2</c:v>
                </c:pt>
                <c:pt idx="8" formatCode="0%">
                  <c:v>-0.11684037301151953</c:v>
                </c:pt>
                <c:pt idx="9" formatCode="0%">
                  <c:v>6.8776628119293873E-2</c:v>
                </c:pt>
                <c:pt idx="10" formatCode="0%">
                  <c:v>2.3352793994995805E-2</c:v>
                </c:pt>
                <c:pt idx="11" formatCode="0%">
                  <c:v>0.16515232495991453</c:v>
                </c:pt>
                <c:pt idx="12" formatCode="0%">
                  <c:v>3.2757593805836809E-2</c:v>
                </c:pt>
                <c:pt idx="13" formatCode="0%">
                  <c:v>5.6008700380641561E-2</c:v>
                </c:pt>
                <c:pt idx="14" formatCode="0%">
                  <c:v>2.4013722126929607E-2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28-4E5B-B698-8E80376AA4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4078639"/>
        <c:axId val="12940824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'Problem statement 3'!$B$35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'Problem statement 3'!$C$35:$Q$35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2022</c:v>
                      </c:pt>
                      <c:pt idx="1">
                        <c:v>0</c:v>
                      </c:pt>
                      <c:pt idx="2" formatCode="0.00">
                        <c:v>155</c:v>
                      </c:pt>
                      <c:pt idx="3" formatCode="0.00">
                        <c:v>219.4</c:v>
                      </c:pt>
                      <c:pt idx="4" formatCode="0.00">
                        <c:v>170.8</c:v>
                      </c:pt>
                      <c:pt idx="5" formatCode="0.00">
                        <c:v>165.8</c:v>
                      </c:pt>
                      <c:pt idx="6" formatCode="0.00">
                        <c:v>200.9</c:v>
                      </c:pt>
                      <c:pt idx="7" formatCode="0.00">
                        <c:v>169.7</c:v>
                      </c:pt>
                      <c:pt idx="8" formatCode="0.00">
                        <c:v>182.3</c:v>
                      </c:pt>
                      <c:pt idx="9" formatCode="0.00">
                        <c:v>164.3</c:v>
                      </c:pt>
                      <c:pt idx="10" formatCode="0.00">
                        <c:v>119.9</c:v>
                      </c:pt>
                      <c:pt idx="11" formatCode="0.00">
                        <c:v>187.1</c:v>
                      </c:pt>
                      <c:pt idx="12" formatCode="0.00">
                        <c:v>167.9</c:v>
                      </c:pt>
                      <c:pt idx="13" formatCode="0.00">
                        <c:v>183.9</c:v>
                      </c:pt>
                      <c:pt idx="14" formatCode="0.00">
                        <c:v>174.9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728-4E5B-B698-8E80376AA412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3'!$B$36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3'!$C$36:$Q$36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2022</c:v>
                      </c:pt>
                      <c:pt idx="1">
                        <c:v>0</c:v>
                      </c:pt>
                      <c:pt idx="2" formatCode="0.00">
                        <c:v>156.5</c:v>
                      </c:pt>
                      <c:pt idx="3" formatCode="0.00">
                        <c:v>213</c:v>
                      </c:pt>
                      <c:pt idx="4" formatCode="0.00">
                        <c:v>175.2</c:v>
                      </c:pt>
                      <c:pt idx="5" formatCode="0.00">
                        <c:v>166.6</c:v>
                      </c:pt>
                      <c:pt idx="6" formatCode="0.00">
                        <c:v>195.8</c:v>
                      </c:pt>
                      <c:pt idx="7" formatCode="0.00">
                        <c:v>174.2</c:v>
                      </c:pt>
                      <c:pt idx="8" formatCode="0.00">
                        <c:v>182.1</c:v>
                      </c:pt>
                      <c:pt idx="9" formatCode="0.00">
                        <c:v>164.3</c:v>
                      </c:pt>
                      <c:pt idx="10" formatCode="0.00">
                        <c:v>120</c:v>
                      </c:pt>
                      <c:pt idx="11" formatCode="0.00">
                        <c:v>190</c:v>
                      </c:pt>
                      <c:pt idx="12" formatCode="0.00">
                        <c:v>168.4</c:v>
                      </c:pt>
                      <c:pt idx="13" formatCode="0.00">
                        <c:v>185.2</c:v>
                      </c:pt>
                      <c:pt idx="14" formatCode="0.00">
                        <c:v>175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728-4E5B-B698-8E80376AA412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3'!$B$37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3'!$C$37:$Q$37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2022</c:v>
                      </c:pt>
                      <c:pt idx="1">
                        <c:v>0</c:v>
                      </c:pt>
                      <c:pt idx="2" formatCode="0.00">
                        <c:v>160.30000000000001</c:v>
                      </c:pt>
                      <c:pt idx="3" formatCode="0.00">
                        <c:v>206.5</c:v>
                      </c:pt>
                      <c:pt idx="4" formatCode="0.00">
                        <c:v>169.2</c:v>
                      </c:pt>
                      <c:pt idx="5" formatCode="0.00">
                        <c:v>168.1</c:v>
                      </c:pt>
                      <c:pt idx="6" formatCode="0.00">
                        <c:v>192.4</c:v>
                      </c:pt>
                      <c:pt idx="7" formatCode="0.00">
                        <c:v>172.9</c:v>
                      </c:pt>
                      <c:pt idx="8" formatCode="0.00">
                        <c:v>186.7</c:v>
                      </c:pt>
                      <c:pt idx="9" formatCode="0.00">
                        <c:v>167.2</c:v>
                      </c:pt>
                      <c:pt idx="10" formatCode="0.00">
                        <c:v>120.9</c:v>
                      </c:pt>
                      <c:pt idx="11" formatCode="0.00">
                        <c:v>193.6</c:v>
                      </c:pt>
                      <c:pt idx="12" formatCode="0.00">
                        <c:v>168.8</c:v>
                      </c:pt>
                      <c:pt idx="13" formatCode="0.00">
                        <c:v>186.3</c:v>
                      </c:pt>
                      <c:pt idx="14" formatCode="0.00">
                        <c:v>176.3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728-4E5B-B698-8E80376AA412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3'!$B$38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3'!$C$38:$Q$38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2022</c:v>
                      </c:pt>
                      <c:pt idx="1">
                        <c:v>0</c:v>
                      </c:pt>
                      <c:pt idx="2" formatCode="0.00">
                        <c:v>163.5</c:v>
                      </c:pt>
                      <c:pt idx="3" formatCode="0.00">
                        <c:v>209.2</c:v>
                      </c:pt>
                      <c:pt idx="4" formatCode="0.00">
                        <c:v>169.7</c:v>
                      </c:pt>
                      <c:pt idx="5" formatCode="0.00">
                        <c:v>169.7</c:v>
                      </c:pt>
                      <c:pt idx="6" formatCode="0.00">
                        <c:v>188.7</c:v>
                      </c:pt>
                      <c:pt idx="7" formatCode="0.00">
                        <c:v>165.7</c:v>
                      </c:pt>
                      <c:pt idx="8" formatCode="0.00">
                        <c:v>191.8</c:v>
                      </c:pt>
                      <c:pt idx="9" formatCode="0.00">
                        <c:v>169.1</c:v>
                      </c:pt>
                      <c:pt idx="10" formatCode="0.00">
                        <c:v>121.6</c:v>
                      </c:pt>
                      <c:pt idx="11" formatCode="0.00">
                        <c:v>197.3</c:v>
                      </c:pt>
                      <c:pt idx="12" formatCode="0.00">
                        <c:v>169.4</c:v>
                      </c:pt>
                      <c:pt idx="13" formatCode="0.00">
                        <c:v>187.4</c:v>
                      </c:pt>
                      <c:pt idx="14" formatCode="0.00">
                        <c:v>177.8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728-4E5B-B698-8E80376AA412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3'!$B$39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3'!$C$39:$Q$39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2022</c:v>
                      </c:pt>
                      <c:pt idx="1">
                        <c:v>0</c:v>
                      </c:pt>
                      <c:pt idx="2" formatCode="0.00">
                        <c:v>165.2</c:v>
                      </c:pt>
                      <c:pt idx="3" formatCode="0.00">
                        <c:v>210.9</c:v>
                      </c:pt>
                      <c:pt idx="4" formatCode="0.00">
                        <c:v>170.9</c:v>
                      </c:pt>
                      <c:pt idx="5" formatCode="0.00">
                        <c:v>170.9</c:v>
                      </c:pt>
                      <c:pt idx="6" formatCode="0.00">
                        <c:v>186.5</c:v>
                      </c:pt>
                      <c:pt idx="7" formatCode="0.00">
                        <c:v>163.80000000000001</c:v>
                      </c:pt>
                      <c:pt idx="8" formatCode="0.00">
                        <c:v>199.7</c:v>
                      </c:pt>
                      <c:pt idx="9" formatCode="0.00">
                        <c:v>169.8</c:v>
                      </c:pt>
                      <c:pt idx="10" formatCode="0.00">
                        <c:v>121.9</c:v>
                      </c:pt>
                      <c:pt idx="11" formatCode="0.00">
                        <c:v>199.9</c:v>
                      </c:pt>
                      <c:pt idx="12" formatCode="0.00">
                        <c:v>169.9</c:v>
                      </c:pt>
                      <c:pt idx="13" formatCode="0.00">
                        <c:v>188.3</c:v>
                      </c:pt>
                      <c:pt idx="14" formatCode="0.00">
                        <c:v>179.6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728-4E5B-B698-8E80376AA412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3'!$B$40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3'!$C$40:$Q$40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2022</c:v>
                      </c:pt>
                      <c:pt idx="1">
                        <c:v>0</c:v>
                      </c:pt>
                      <c:pt idx="2" formatCode="0.00">
                        <c:v>167.4</c:v>
                      </c:pt>
                      <c:pt idx="3" formatCode="0.00">
                        <c:v>209.4</c:v>
                      </c:pt>
                      <c:pt idx="4" formatCode="0.00">
                        <c:v>181.4</c:v>
                      </c:pt>
                      <c:pt idx="5" formatCode="0.00">
                        <c:v>172.3</c:v>
                      </c:pt>
                      <c:pt idx="6" formatCode="0.00">
                        <c:v>188.9</c:v>
                      </c:pt>
                      <c:pt idx="7" formatCode="0.00">
                        <c:v>160.69999999999999</c:v>
                      </c:pt>
                      <c:pt idx="8" formatCode="0.00">
                        <c:v>183.1</c:v>
                      </c:pt>
                      <c:pt idx="9" formatCode="0.00">
                        <c:v>170.5</c:v>
                      </c:pt>
                      <c:pt idx="10" formatCode="0.00">
                        <c:v>122.1</c:v>
                      </c:pt>
                      <c:pt idx="11" formatCode="0.00">
                        <c:v>202.8</c:v>
                      </c:pt>
                      <c:pt idx="12" formatCode="0.00">
                        <c:v>170.4</c:v>
                      </c:pt>
                      <c:pt idx="13" formatCode="0.00">
                        <c:v>189.5</c:v>
                      </c:pt>
                      <c:pt idx="14" formatCode="0.00">
                        <c:v>178.3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728-4E5B-B698-8E80376AA412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3'!$B$41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1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1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1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3'!$C$41:$Q$41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2022</c:v>
                      </c:pt>
                      <c:pt idx="1">
                        <c:v>0</c:v>
                      </c:pt>
                      <c:pt idx="2" formatCode="0.00">
                        <c:v>169.2</c:v>
                      </c:pt>
                      <c:pt idx="3" formatCode="0.00">
                        <c:v>209</c:v>
                      </c:pt>
                      <c:pt idx="4" formatCode="0.00">
                        <c:v>190.2</c:v>
                      </c:pt>
                      <c:pt idx="5" formatCode="0.00">
                        <c:v>173.6</c:v>
                      </c:pt>
                      <c:pt idx="6" formatCode="0.00">
                        <c:v>188.5</c:v>
                      </c:pt>
                      <c:pt idx="7" formatCode="0.00">
                        <c:v>158</c:v>
                      </c:pt>
                      <c:pt idx="8" formatCode="0.00">
                        <c:v>159.9</c:v>
                      </c:pt>
                      <c:pt idx="9" formatCode="0.00">
                        <c:v>170.8</c:v>
                      </c:pt>
                      <c:pt idx="10" formatCode="0.00">
                        <c:v>121.8</c:v>
                      </c:pt>
                      <c:pt idx="11" formatCode="0.00">
                        <c:v>205.2</c:v>
                      </c:pt>
                      <c:pt idx="12" formatCode="0.00">
                        <c:v>171</c:v>
                      </c:pt>
                      <c:pt idx="13" formatCode="0.00">
                        <c:v>190.3</c:v>
                      </c:pt>
                      <c:pt idx="14" formatCode="0.00">
                        <c:v>175.9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728-4E5B-B698-8E80376AA412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3'!$B$42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3'!$C$42:$Q$42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2023</c:v>
                      </c:pt>
                      <c:pt idx="1">
                        <c:v>0</c:v>
                      </c:pt>
                      <c:pt idx="2" formatCode="0.00">
                        <c:v>173.8</c:v>
                      </c:pt>
                      <c:pt idx="3" formatCode="0.00">
                        <c:v>210.7</c:v>
                      </c:pt>
                      <c:pt idx="4" formatCode="0.00">
                        <c:v>194.5</c:v>
                      </c:pt>
                      <c:pt idx="5" formatCode="0.00">
                        <c:v>174.6</c:v>
                      </c:pt>
                      <c:pt idx="6" formatCode="0.00">
                        <c:v>187.2</c:v>
                      </c:pt>
                      <c:pt idx="7" formatCode="0.00">
                        <c:v>158.30000000000001</c:v>
                      </c:pt>
                      <c:pt idx="8" formatCode="0.00">
                        <c:v>153.9</c:v>
                      </c:pt>
                      <c:pt idx="9" formatCode="0.00">
                        <c:v>170.9</c:v>
                      </c:pt>
                      <c:pt idx="10" formatCode="0.00">
                        <c:v>121.1</c:v>
                      </c:pt>
                      <c:pt idx="11" formatCode="0.00">
                        <c:v>208.4</c:v>
                      </c:pt>
                      <c:pt idx="12" formatCode="0.00">
                        <c:v>171.4</c:v>
                      </c:pt>
                      <c:pt idx="13" formatCode="0.00">
                        <c:v>191.2</c:v>
                      </c:pt>
                      <c:pt idx="14" formatCode="0.00">
                        <c:v>176.7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728-4E5B-B698-8E80376AA412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3'!$B$43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3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3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3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3'!$C$43:$Q$43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2023</c:v>
                      </c:pt>
                      <c:pt idx="1">
                        <c:v>0</c:v>
                      </c:pt>
                      <c:pt idx="2" formatCode="0.00">
                        <c:v>174.4</c:v>
                      </c:pt>
                      <c:pt idx="3" formatCode="0.00">
                        <c:v>207.7</c:v>
                      </c:pt>
                      <c:pt idx="4" formatCode="0.00">
                        <c:v>175.2</c:v>
                      </c:pt>
                      <c:pt idx="5" formatCode="0.00">
                        <c:v>177.3</c:v>
                      </c:pt>
                      <c:pt idx="6" formatCode="0.00">
                        <c:v>179.3</c:v>
                      </c:pt>
                      <c:pt idx="7" formatCode="0.00">
                        <c:v>169.5</c:v>
                      </c:pt>
                      <c:pt idx="8" formatCode="0.00">
                        <c:v>152.69999999999999</c:v>
                      </c:pt>
                      <c:pt idx="9" formatCode="0.00">
                        <c:v>171</c:v>
                      </c:pt>
                      <c:pt idx="10" formatCode="0.00">
                        <c:v>120</c:v>
                      </c:pt>
                      <c:pt idx="11" formatCode="0.00">
                        <c:v>209.7</c:v>
                      </c:pt>
                      <c:pt idx="12" formatCode="0.00">
                        <c:v>172.3</c:v>
                      </c:pt>
                      <c:pt idx="13" formatCode="0.00">
                        <c:v>193</c:v>
                      </c:pt>
                      <c:pt idx="14" formatCode="0.00">
                        <c:v>177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728-4E5B-B698-8E80376AA412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3'!$B$44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3'!$C$44:$Q$44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2023</c:v>
                      </c:pt>
                      <c:pt idx="1">
                        <c:v>0</c:v>
                      </c:pt>
                      <c:pt idx="2" formatCode="0.00">
                        <c:v>174.4</c:v>
                      </c:pt>
                      <c:pt idx="3" formatCode="0.00">
                        <c:v>207.7</c:v>
                      </c:pt>
                      <c:pt idx="4" formatCode="0.00">
                        <c:v>175.2</c:v>
                      </c:pt>
                      <c:pt idx="5" formatCode="0.00">
                        <c:v>177.3</c:v>
                      </c:pt>
                      <c:pt idx="6" formatCode="0.00">
                        <c:v>179.2</c:v>
                      </c:pt>
                      <c:pt idx="7" formatCode="0.00">
                        <c:v>169.5</c:v>
                      </c:pt>
                      <c:pt idx="8" formatCode="0.00">
                        <c:v>152.80000000000001</c:v>
                      </c:pt>
                      <c:pt idx="9" formatCode="0.00">
                        <c:v>171.1</c:v>
                      </c:pt>
                      <c:pt idx="10" formatCode="0.00">
                        <c:v>120</c:v>
                      </c:pt>
                      <c:pt idx="11" formatCode="0.00">
                        <c:v>209.7</c:v>
                      </c:pt>
                      <c:pt idx="12" formatCode="0.00">
                        <c:v>172.3</c:v>
                      </c:pt>
                      <c:pt idx="13" formatCode="0.00">
                        <c:v>193</c:v>
                      </c:pt>
                      <c:pt idx="14" formatCode="0.00">
                        <c:v>177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728-4E5B-B698-8E80376AA412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3'!$B$45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5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5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5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3'!$C$45:$Q$45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2023</c:v>
                      </c:pt>
                      <c:pt idx="1">
                        <c:v>0</c:v>
                      </c:pt>
                      <c:pt idx="2" formatCode="0.00">
                        <c:v>173.8</c:v>
                      </c:pt>
                      <c:pt idx="3" formatCode="0.00">
                        <c:v>209.3</c:v>
                      </c:pt>
                      <c:pt idx="4" formatCode="0.00">
                        <c:v>169.6</c:v>
                      </c:pt>
                      <c:pt idx="5" formatCode="0.00">
                        <c:v>178.4</c:v>
                      </c:pt>
                      <c:pt idx="6" formatCode="0.00">
                        <c:v>174.9</c:v>
                      </c:pt>
                      <c:pt idx="7" formatCode="0.00">
                        <c:v>176.3</c:v>
                      </c:pt>
                      <c:pt idx="8" formatCode="0.00">
                        <c:v>155.4</c:v>
                      </c:pt>
                      <c:pt idx="9" formatCode="0.00">
                        <c:v>173.4</c:v>
                      </c:pt>
                      <c:pt idx="10" formatCode="0.00">
                        <c:v>121.3</c:v>
                      </c:pt>
                      <c:pt idx="11" formatCode="0.00">
                        <c:v>212.9</c:v>
                      </c:pt>
                      <c:pt idx="12" formatCode="0.00">
                        <c:v>172.9</c:v>
                      </c:pt>
                      <c:pt idx="13" formatCode="0.00">
                        <c:v>193.5</c:v>
                      </c:pt>
                      <c:pt idx="14" formatCode="0.00">
                        <c:v>177.9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728-4E5B-B698-8E80376AA412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3'!$B$46</c15:sqref>
                        </c15:formulaRef>
                      </c:ext>
                    </c:extLst>
                    <c:strCache>
                      <c:ptCount val="1"/>
                      <c:pt idx="0">
                        <c:v>Rural+Urban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3'!$C$34:$Q$34</c15:sqref>
                        </c15:formulaRef>
                      </c:ext>
                    </c:extLst>
                    <c:strCache>
                      <c:ptCount val="15"/>
                      <c:pt idx="0">
                        <c:v>Year</c:v>
                      </c:pt>
                      <c:pt idx="1">
                        <c:v>Month</c:v>
                      </c:pt>
                      <c:pt idx="2">
                        <c:v>Cereals and products</c:v>
                      </c:pt>
                      <c:pt idx="3">
                        <c:v>Meat and fish</c:v>
                      </c:pt>
                      <c:pt idx="4">
                        <c:v>Egg</c:v>
                      </c:pt>
                      <c:pt idx="5">
                        <c:v>Milk and products</c:v>
                      </c:pt>
                      <c:pt idx="6">
                        <c:v>Oils and fats</c:v>
                      </c:pt>
                      <c:pt idx="7">
                        <c:v>Fruits</c:v>
                      </c:pt>
                      <c:pt idx="8">
                        <c:v>Vegetables</c:v>
                      </c:pt>
                      <c:pt idx="9">
                        <c:v>Pulses and products</c:v>
                      </c:pt>
                      <c:pt idx="10">
                        <c:v>Sugar and Confectionery</c:v>
                      </c:pt>
                      <c:pt idx="11">
                        <c:v>Spices</c:v>
                      </c:pt>
                      <c:pt idx="12">
                        <c:v>Non-alcoholic beverages</c:v>
                      </c:pt>
                      <c:pt idx="13">
                        <c:v>Prepared meals, snacks, sweets etc.</c:v>
                      </c:pt>
                      <c:pt idx="14">
                        <c:v>Food and beverages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3'!$C$46:$Q$46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2023</c:v>
                      </c:pt>
                      <c:pt idx="1">
                        <c:v>0</c:v>
                      </c:pt>
                      <c:pt idx="2" formatCode="0.00">
                        <c:v>173.7</c:v>
                      </c:pt>
                      <c:pt idx="3" formatCode="0.00">
                        <c:v>214.3</c:v>
                      </c:pt>
                      <c:pt idx="4" formatCode="0.00">
                        <c:v>173.2</c:v>
                      </c:pt>
                      <c:pt idx="5" formatCode="0.00">
                        <c:v>179.5</c:v>
                      </c:pt>
                      <c:pt idx="6" formatCode="0.00">
                        <c:v>170</c:v>
                      </c:pt>
                      <c:pt idx="7" formatCode="0.00">
                        <c:v>172.2</c:v>
                      </c:pt>
                      <c:pt idx="8" formatCode="0.00">
                        <c:v>161</c:v>
                      </c:pt>
                      <c:pt idx="9" formatCode="0.00">
                        <c:v>175.6</c:v>
                      </c:pt>
                      <c:pt idx="10" formatCode="0.00">
                        <c:v>122.7</c:v>
                      </c:pt>
                      <c:pt idx="11" formatCode="0.00">
                        <c:v>218</c:v>
                      </c:pt>
                      <c:pt idx="12" formatCode="0.00">
                        <c:v>173.4</c:v>
                      </c:pt>
                      <c:pt idx="13" formatCode="0.00">
                        <c:v>194.2</c:v>
                      </c:pt>
                      <c:pt idx="14" formatCode="0.00">
                        <c:v>179.1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728-4E5B-B698-8E80376AA412}"/>
                  </c:ext>
                </c:extLst>
              </c15:ser>
            </c15:filteredBarSeries>
          </c:ext>
        </c:extLst>
      </c:barChart>
      <c:catAx>
        <c:axId val="129407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82479"/>
        <c:crosses val="autoZero"/>
        <c:auto val="1"/>
        <c:lblAlgn val="ctr"/>
        <c:lblOffset val="100"/>
        <c:noMultiLvlLbl val="0"/>
      </c:catAx>
      <c:valAx>
        <c:axId val="129408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078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'Problem statement 4'!$H$2:$H$3</c:f>
              <c:strCache>
                <c:ptCount val="2"/>
                <c:pt idx="0">
                  <c:v>Food Inflation</c:v>
                </c:pt>
                <c:pt idx="1">
                  <c:v>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'Problem statement 4'!$C$4:$D$28</c:f>
              <c:multiLvlStrCache>
                <c:ptCount val="25"/>
                <c:lvl>
                  <c:pt idx="0">
                    <c:v>February</c:v>
                  </c:pt>
                  <c:pt idx="1">
                    <c:v>March</c:v>
                  </c:pt>
                  <c:pt idx="2">
                    <c:v>May</c:v>
                  </c:pt>
                  <c:pt idx="3">
                    <c:v>June</c:v>
                  </c:pt>
                  <c:pt idx="4">
                    <c:v>July</c:v>
                  </c:pt>
                  <c:pt idx="5">
                    <c:v>August</c:v>
                  </c:pt>
                  <c:pt idx="6">
                    <c:v>September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January</c:v>
                  </c:pt>
                  <c:pt idx="11">
                    <c:v>February</c:v>
                  </c:pt>
                  <c:pt idx="12">
                    <c:v>March</c:v>
                  </c:pt>
                  <c:pt idx="13">
                    <c:v>April</c:v>
                  </c:pt>
                  <c:pt idx="14">
                    <c:v>May</c:v>
                  </c:pt>
                  <c:pt idx="15">
                    <c:v>June</c:v>
                  </c:pt>
                  <c:pt idx="16">
                    <c:v>July</c:v>
                  </c:pt>
                  <c:pt idx="17">
                    <c:v>August</c:v>
                  </c:pt>
                  <c:pt idx="18">
                    <c:v>September</c:v>
                  </c:pt>
                  <c:pt idx="19">
                    <c:v>October</c:v>
                  </c:pt>
                  <c:pt idx="20">
                    <c:v>November</c:v>
                  </c:pt>
                  <c:pt idx="21">
                    <c:v>December</c:v>
                  </c:pt>
                  <c:pt idx="22">
                    <c:v>January</c:v>
                  </c:pt>
                  <c:pt idx="23">
                    <c:v>February</c:v>
                  </c:pt>
                  <c:pt idx="24">
                    <c:v>March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2021</c:v>
                  </c:pt>
                  <c:pt idx="24">
                    <c:v>2021</c:v>
                  </c:pt>
                </c:lvl>
              </c:multiLvlStrCache>
            </c:multiLvlStrRef>
          </c:cat>
          <c:val>
            <c:numRef>
              <c:f>'Problem statement 4'!$H$4:$H$28</c:f>
              <c:numCache>
                <c:formatCode>0.00%</c:formatCode>
                <c:ptCount val="25"/>
                <c:pt idx="0">
                  <c:v>2.1101859244895891E-3</c:v>
                </c:pt>
                <c:pt idx="1">
                  <c:v>3.3008935177281785E-3</c:v>
                </c:pt>
                <c:pt idx="2">
                  <c:v>1.6450167337909254E-2</c:v>
                </c:pt>
                <c:pt idx="3">
                  <c:v>1.2389084212288529E-2</c:v>
                </c:pt>
                <c:pt idx="4">
                  <c:v>1.289895816107153E-2</c:v>
                </c:pt>
                <c:pt idx="5">
                  <c:v>4.8979591836734691E-3</c:v>
                </c:pt>
                <c:pt idx="6">
                  <c:v>6.0655293799078353E-3</c:v>
                </c:pt>
                <c:pt idx="7">
                  <c:v>1.501857135167135E-2</c:v>
                </c:pt>
                <c:pt idx="8">
                  <c:v>1.3417479847263689E-2</c:v>
                </c:pt>
                <c:pt idx="9">
                  <c:v>1.8420639489245928E-2</c:v>
                </c:pt>
                <c:pt idx="10">
                  <c:v>-2.9289347926623878E-3</c:v>
                </c:pt>
                <c:pt idx="11">
                  <c:v>-1.4842300556586249E-2</c:v>
                </c:pt>
                <c:pt idx="12">
                  <c:v>-8.4745762711863452E-3</c:v>
                </c:pt>
                <c:pt idx="13">
                  <c:v>2.8463648834019108E-2</c:v>
                </c:pt>
                <c:pt idx="14">
                  <c:v>-1.3115482938757217E-2</c:v>
                </c:pt>
                <c:pt idx="15">
                  <c:v>2.2360452926958155E-2</c:v>
                </c:pt>
                <c:pt idx="16">
                  <c:v>0</c:v>
                </c:pt>
                <c:pt idx="17">
                  <c:v>1.4439699003457207E-2</c:v>
                </c:pt>
                <c:pt idx="18">
                  <c:v>5.9141940657579106E-3</c:v>
                </c:pt>
                <c:pt idx="19">
                  <c:v>2.0727453911310596E-2</c:v>
                </c:pt>
                <c:pt idx="20">
                  <c:v>2.2942497315239448E-2</c:v>
                </c:pt>
                <c:pt idx="21">
                  <c:v>6.4420690971559464E-3</c:v>
                </c:pt>
                <c:pt idx="22">
                  <c:v>-1.5456829927457167E-2</c:v>
                </c:pt>
                <c:pt idx="23">
                  <c:v>-1.7914760414158352E-2</c:v>
                </c:pt>
                <c:pt idx="24">
                  <c:v>4.9036434070358294E-5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C-471C-BC92-4C1C4E73EA78}"/>
            </c:ext>
          </c:extLst>
        </c:ser>
        <c:ser>
          <c:idx val="1"/>
          <c:order val="1"/>
          <c:tx>
            <c:strRef>
              <c:f>'Problem statement 4'!$I$2:$I$3</c:f>
              <c:strCache>
                <c:ptCount val="2"/>
                <c:pt idx="0">
                  <c:v>Health Inflation</c:v>
                </c:pt>
                <c:pt idx="1">
                  <c:v>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'Problem statement 4'!$C$4:$D$28</c:f>
              <c:multiLvlStrCache>
                <c:ptCount val="25"/>
                <c:lvl>
                  <c:pt idx="0">
                    <c:v>February</c:v>
                  </c:pt>
                  <c:pt idx="1">
                    <c:v>March</c:v>
                  </c:pt>
                  <c:pt idx="2">
                    <c:v>May</c:v>
                  </c:pt>
                  <c:pt idx="3">
                    <c:v>June</c:v>
                  </c:pt>
                  <c:pt idx="4">
                    <c:v>July</c:v>
                  </c:pt>
                  <c:pt idx="5">
                    <c:v>August</c:v>
                  </c:pt>
                  <c:pt idx="6">
                    <c:v>September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January</c:v>
                  </c:pt>
                  <c:pt idx="11">
                    <c:v>February</c:v>
                  </c:pt>
                  <c:pt idx="12">
                    <c:v>March</c:v>
                  </c:pt>
                  <c:pt idx="13">
                    <c:v>April</c:v>
                  </c:pt>
                  <c:pt idx="14">
                    <c:v>May</c:v>
                  </c:pt>
                  <c:pt idx="15">
                    <c:v>June</c:v>
                  </c:pt>
                  <c:pt idx="16">
                    <c:v>July</c:v>
                  </c:pt>
                  <c:pt idx="17">
                    <c:v>August</c:v>
                  </c:pt>
                  <c:pt idx="18">
                    <c:v>September</c:v>
                  </c:pt>
                  <c:pt idx="19">
                    <c:v>October</c:v>
                  </c:pt>
                  <c:pt idx="20">
                    <c:v>November</c:v>
                  </c:pt>
                  <c:pt idx="21">
                    <c:v>December</c:v>
                  </c:pt>
                  <c:pt idx="22">
                    <c:v>January</c:v>
                  </c:pt>
                  <c:pt idx="23">
                    <c:v>February</c:v>
                  </c:pt>
                  <c:pt idx="24">
                    <c:v>March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2021</c:v>
                  </c:pt>
                  <c:pt idx="24">
                    <c:v>2021</c:v>
                  </c:pt>
                </c:lvl>
              </c:multiLvlStrCache>
            </c:multiLvlStrRef>
          </c:cat>
          <c:val>
            <c:numRef>
              <c:f>'Problem statement 4'!$I$4:$I$28</c:f>
              <c:numCache>
                <c:formatCode>0.00%</c:formatCode>
                <c:ptCount val="25"/>
                <c:pt idx="0">
                  <c:v>6.4771500539762923E-3</c:v>
                </c:pt>
                <c:pt idx="1">
                  <c:v>-3.5752592062912369E-4</c:v>
                </c:pt>
                <c:pt idx="2">
                  <c:v>2.5035765379112611E-3</c:v>
                </c:pt>
                <c:pt idx="3">
                  <c:v>4.9946485907956979E-3</c:v>
                </c:pt>
                <c:pt idx="4">
                  <c:v>6.7447639332622539E-3</c:v>
                </c:pt>
                <c:pt idx="5">
                  <c:v>1.1636107193229739E-2</c:v>
                </c:pt>
                <c:pt idx="6">
                  <c:v>6.2739630533287264E-3</c:v>
                </c:pt>
                <c:pt idx="7">
                  <c:v>2.4246622791825032E-3</c:v>
                </c:pt>
                <c:pt idx="8">
                  <c:v>2.7643400138219359E-3</c:v>
                </c:pt>
                <c:pt idx="9">
                  <c:v>2.0675396278427493E-3</c:v>
                </c:pt>
                <c:pt idx="10">
                  <c:v>9.2847317744153661E-3</c:v>
                </c:pt>
                <c:pt idx="11">
                  <c:v>5.4514480408859381E-3</c:v>
                </c:pt>
                <c:pt idx="12">
                  <c:v>8.1328363266688474E-3</c:v>
                </c:pt>
                <c:pt idx="13">
                  <c:v>-8.3473389355742805E-3</c:v>
                </c:pt>
                <c:pt idx="14">
                  <c:v>2.7682051861476625E-3</c:v>
                </c:pt>
                <c:pt idx="15">
                  <c:v>3.4366197183098655E-2</c:v>
                </c:pt>
                <c:pt idx="16">
                  <c:v>0</c:v>
                </c:pt>
                <c:pt idx="17">
                  <c:v>1.0784313725490234E-2</c:v>
                </c:pt>
                <c:pt idx="18">
                  <c:v>1.5195602974458417E-2</c:v>
                </c:pt>
                <c:pt idx="19">
                  <c:v>-2.2292993630572888E-3</c:v>
                </c:pt>
                <c:pt idx="20">
                  <c:v>2.5534631343760335E-3</c:v>
                </c:pt>
                <c:pt idx="21">
                  <c:v>4.1388092964022745E-3</c:v>
                </c:pt>
                <c:pt idx="22">
                  <c:v>2.2194039315156801E-3</c:v>
                </c:pt>
                <c:pt idx="23">
                  <c:v>3.1635558367605187E-3</c:v>
                </c:pt>
                <c:pt idx="24">
                  <c:v>-5.0457269000316069E-3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3C-471C-BC92-4C1C4E73EA78}"/>
            </c:ext>
          </c:extLst>
        </c:ser>
        <c:ser>
          <c:idx val="2"/>
          <c:order val="2"/>
          <c:tx>
            <c:strRef>
              <c:f>'Problem statement 4'!$J$2:$J$3</c:f>
              <c:strCache>
                <c:ptCount val="2"/>
                <c:pt idx="0">
                  <c:v>Essential Inflation</c:v>
                </c:pt>
                <c:pt idx="1">
                  <c:v>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'Problem statement 4'!$C$4:$D$28</c:f>
              <c:multiLvlStrCache>
                <c:ptCount val="25"/>
                <c:lvl>
                  <c:pt idx="0">
                    <c:v>February</c:v>
                  </c:pt>
                  <c:pt idx="1">
                    <c:v>March</c:v>
                  </c:pt>
                  <c:pt idx="2">
                    <c:v>May</c:v>
                  </c:pt>
                  <c:pt idx="3">
                    <c:v>June</c:v>
                  </c:pt>
                  <c:pt idx="4">
                    <c:v>July</c:v>
                  </c:pt>
                  <c:pt idx="5">
                    <c:v>August</c:v>
                  </c:pt>
                  <c:pt idx="6">
                    <c:v>September</c:v>
                  </c:pt>
                  <c:pt idx="7">
                    <c:v>October</c:v>
                  </c:pt>
                  <c:pt idx="8">
                    <c:v>November</c:v>
                  </c:pt>
                  <c:pt idx="9">
                    <c:v>December</c:v>
                  </c:pt>
                  <c:pt idx="10">
                    <c:v>January</c:v>
                  </c:pt>
                  <c:pt idx="11">
                    <c:v>February</c:v>
                  </c:pt>
                  <c:pt idx="12">
                    <c:v>March</c:v>
                  </c:pt>
                  <c:pt idx="13">
                    <c:v>April</c:v>
                  </c:pt>
                  <c:pt idx="14">
                    <c:v>May</c:v>
                  </c:pt>
                  <c:pt idx="15">
                    <c:v>June</c:v>
                  </c:pt>
                  <c:pt idx="16">
                    <c:v>July</c:v>
                  </c:pt>
                  <c:pt idx="17">
                    <c:v>August</c:v>
                  </c:pt>
                  <c:pt idx="18">
                    <c:v>September</c:v>
                  </c:pt>
                  <c:pt idx="19">
                    <c:v>October</c:v>
                  </c:pt>
                  <c:pt idx="20">
                    <c:v>November</c:v>
                  </c:pt>
                  <c:pt idx="21">
                    <c:v>December</c:v>
                  </c:pt>
                  <c:pt idx="22">
                    <c:v>January</c:v>
                  </c:pt>
                  <c:pt idx="23">
                    <c:v>February</c:v>
                  </c:pt>
                  <c:pt idx="24">
                    <c:v>March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2020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2021</c:v>
                  </c:pt>
                  <c:pt idx="23">
                    <c:v>2021</c:v>
                  </c:pt>
                  <c:pt idx="24">
                    <c:v>2021</c:v>
                  </c:pt>
                </c:lvl>
              </c:multiLvlStrCache>
            </c:multiLvlStrRef>
          </c:cat>
          <c:val>
            <c:numRef>
              <c:f>'Problem statement 4'!$J$4:$J$28</c:f>
              <c:numCache>
                <c:formatCode>0.00%</c:formatCode>
                <c:ptCount val="25"/>
                <c:pt idx="0">
                  <c:v>2.5982790619200037E-2</c:v>
                </c:pt>
                <c:pt idx="1">
                  <c:v>-6.2654168722249493E-2</c:v>
                </c:pt>
                <c:pt idx="2">
                  <c:v>3.8596491228070177E-2</c:v>
                </c:pt>
                <c:pt idx="3">
                  <c:v>2.9391891891891852E-2</c:v>
                </c:pt>
                <c:pt idx="4">
                  <c:v>-6.0551361995405284E-2</c:v>
                </c:pt>
                <c:pt idx="5">
                  <c:v>3.7030567685589599E-2</c:v>
                </c:pt>
                <c:pt idx="6">
                  <c:v>2.8128684520801635E-2</c:v>
                </c:pt>
                <c:pt idx="7">
                  <c:v>-5.7994757536041906E-2</c:v>
                </c:pt>
                <c:pt idx="8">
                  <c:v>3.5478260869565174E-2</c:v>
                </c:pt>
                <c:pt idx="9">
                  <c:v>2.8384279475982495E-2</c:v>
                </c:pt>
                <c:pt idx="10">
                  <c:v>-5.7651478033643566E-2</c:v>
                </c:pt>
                <c:pt idx="11">
                  <c:v>3.518197573656838E-2</c:v>
                </c:pt>
                <c:pt idx="12">
                  <c:v>2.4945588481500237E-2</c:v>
                </c:pt>
                <c:pt idx="13">
                  <c:v>-6.1417837308069476E-2</c:v>
                </c:pt>
                <c:pt idx="14">
                  <c:v>3.7765402018795767E-2</c:v>
                </c:pt>
                <c:pt idx="15">
                  <c:v>2.7670635586114566E-2</c:v>
                </c:pt>
                <c:pt idx="16">
                  <c:v>-6.2500000000000111E-2</c:v>
                </c:pt>
                <c:pt idx="17">
                  <c:v>3.8642297650130629E-2</c:v>
                </c:pt>
                <c:pt idx="18">
                  <c:v>2.8825205295793604E-2</c:v>
                </c:pt>
                <c:pt idx="19">
                  <c:v>-6.0433295324971707E-2</c:v>
                </c:pt>
                <c:pt idx="20">
                  <c:v>3.7101248266296773E-2</c:v>
                </c:pt>
                <c:pt idx="21">
                  <c:v>2.9087261785356033E-2</c:v>
                </c:pt>
                <c:pt idx="22">
                  <c:v>-5.6530214424951201E-2</c:v>
                </c:pt>
                <c:pt idx="23">
                  <c:v>3.460743801652897E-2</c:v>
                </c:pt>
                <c:pt idx="24">
                  <c:v>2.8457314028956605E-2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3C-471C-BC92-4C1C4E73EA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56431551"/>
        <c:axId val="856428671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'Problem statement 4'!$K$2:$K$3</c15:sqref>
                        </c15:formulaRef>
                      </c:ext>
                    </c:extLst>
                    <c:strCache>
                      <c:ptCount val="2"/>
                      <c:pt idx="0">
                        <c:v>Period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'Problem statement 4'!$C$4:$D$28</c15:sqref>
                        </c15:formulaRef>
                      </c:ext>
                    </c:extLst>
                    <c:multiLvlStrCache>
                      <c:ptCount val="25"/>
                      <c:lvl>
                        <c:pt idx="0">
                          <c:v>February</c:v>
                        </c:pt>
                        <c:pt idx="1">
                          <c:v>March</c:v>
                        </c:pt>
                        <c:pt idx="2">
                          <c:v>May</c:v>
                        </c:pt>
                        <c:pt idx="3">
                          <c:v>June</c:v>
                        </c:pt>
                        <c:pt idx="4">
                          <c:v>July</c:v>
                        </c:pt>
                        <c:pt idx="5">
                          <c:v>August</c:v>
                        </c:pt>
                        <c:pt idx="6">
                          <c:v>September</c:v>
                        </c:pt>
                        <c:pt idx="7">
                          <c:v>October</c:v>
                        </c:pt>
                        <c:pt idx="8">
                          <c:v>November</c:v>
                        </c:pt>
                        <c:pt idx="9">
                          <c:v>December</c:v>
                        </c:pt>
                        <c:pt idx="10">
                          <c:v>January</c:v>
                        </c:pt>
                        <c:pt idx="11">
                          <c:v>February</c:v>
                        </c:pt>
                        <c:pt idx="12">
                          <c:v>March</c:v>
                        </c:pt>
                        <c:pt idx="13">
                          <c:v>April</c:v>
                        </c:pt>
                        <c:pt idx="14">
                          <c:v>May</c:v>
                        </c:pt>
                        <c:pt idx="15">
                          <c:v>June</c:v>
                        </c:pt>
                        <c:pt idx="16">
                          <c:v>July</c:v>
                        </c:pt>
                        <c:pt idx="17">
                          <c:v>August</c:v>
                        </c:pt>
                        <c:pt idx="18">
                          <c:v>September</c:v>
                        </c:pt>
                        <c:pt idx="19">
                          <c:v>October</c:v>
                        </c:pt>
                        <c:pt idx="20">
                          <c:v>November</c:v>
                        </c:pt>
                        <c:pt idx="21">
                          <c:v>December</c:v>
                        </c:pt>
                        <c:pt idx="22">
                          <c:v>January</c:v>
                        </c:pt>
                        <c:pt idx="23">
                          <c:v>February</c:v>
                        </c:pt>
                        <c:pt idx="24">
                          <c:v>March</c:v>
                        </c:pt>
                      </c:lvl>
                      <c:lvl>
                        <c:pt idx="0">
                          <c:v>2019</c:v>
                        </c:pt>
                        <c:pt idx="1">
                          <c:v>2019</c:v>
                        </c:pt>
                        <c:pt idx="2">
                          <c:v>2019</c:v>
                        </c:pt>
                        <c:pt idx="3">
                          <c:v>2019</c:v>
                        </c:pt>
                        <c:pt idx="4">
                          <c:v>2019</c:v>
                        </c:pt>
                        <c:pt idx="5">
                          <c:v>2019</c:v>
                        </c:pt>
                        <c:pt idx="6">
                          <c:v>2019</c:v>
                        </c:pt>
                        <c:pt idx="7">
                          <c:v>2019</c:v>
                        </c:pt>
                        <c:pt idx="8">
                          <c:v>2019</c:v>
                        </c:pt>
                        <c:pt idx="9">
                          <c:v>2019</c:v>
                        </c:pt>
                        <c:pt idx="10">
                          <c:v>2020</c:v>
                        </c:pt>
                        <c:pt idx="11">
                          <c:v>2020</c:v>
                        </c:pt>
                        <c:pt idx="12">
                          <c:v>2020</c:v>
                        </c:pt>
                        <c:pt idx="13">
                          <c:v>2020</c:v>
                        </c:pt>
                        <c:pt idx="14">
                          <c:v>2020</c:v>
                        </c:pt>
                        <c:pt idx="15">
                          <c:v>2020</c:v>
                        </c:pt>
                        <c:pt idx="16">
                          <c:v>2020</c:v>
                        </c:pt>
                        <c:pt idx="17">
                          <c:v>2020</c:v>
                        </c:pt>
                        <c:pt idx="18">
                          <c:v>2020</c:v>
                        </c:pt>
                        <c:pt idx="19">
                          <c:v>2020</c:v>
                        </c:pt>
                        <c:pt idx="20">
                          <c:v>2020</c:v>
                        </c:pt>
                        <c:pt idx="21">
                          <c:v>2020</c:v>
                        </c:pt>
                        <c:pt idx="22">
                          <c:v>2021</c:v>
                        </c:pt>
                        <c:pt idx="23">
                          <c:v>2021</c:v>
                        </c:pt>
                        <c:pt idx="24">
                          <c:v>2021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'Problem statement 4'!$K$4:$K$28</c15:sqref>
                        </c15:formulaRef>
                      </c:ext>
                    </c:extLst>
                    <c:numCache>
                      <c:formatCode>General</c:formatCode>
                      <c:ptCount val="2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253C-471C-BC92-4C1C4E73EA78}"/>
                  </c:ext>
                </c:extLst>
              </c15:ser>
            </c15:filteredBarSeries>
          </c:ext>
        </c:extLst>
      </c:barChart>
      <c:catAx>
        <c:axId val="85643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28671"/>
        <c:crosses val="autoZero"/>
        <c:auto val="1"/>
        <c:lblAlgn val="ctr"/>
        <c:lblOffset val="100"/>
        <c:noMultiLvlLbl val="0"/>
      </c:catAx>
      <c:valAx>
        <c:axId val="85642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43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'Problem statement 4'!$H$2</c:f>
              <c:strCache>
                <c:ptCount val="1"/>
                <c:pt idx="0">
                  <c:v>Food Inflation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'Problem statement 4'!$C$3:$D$28</c:f>
              <c:multiLvlStrCache>
                <c:ptCount val="2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</c:lvl>
              </c:multiLvlStrCache>
            </c:multiLvlStrRef>
          </c:cat>
          <c:val>
            <c:numRef>
              <c:f>'Problem statement 4'!$H$3:$H$28</c:f>
              <c:numCache>
                <c:formatCode>0.00%</c:formatCode>
                <c:ptCount val="26"/>
                <c:pt idx="0" formatCode="General">
                  <c:v>0</c:v>
                </c:pt>
                <c:pt idx="1">
                  <c:v>2.1101859244895891E-3</c:v>
                </c:pt>
                <c:pt idx="2">
                  <c:v>3.3008935177281785E-3</c:v>
                </c:pt>
                <c:pt idx="3">
                  <c:v>1.6450167337909254E-2</c:v>
                </c:pt>
                <c:pt idx="4">
                  <c:v>1.2389084212288529E-2</c:v>
                </c:pt>
                <c:pt idx="5">
                  <c:v>1.289895816107153E-2</c:v>
                </c:pt>
                <c:pt idx="6">
                  <c:v>4.8979591836734691E-3</c:v>
                </c:pt>
                <c:pt idx="7">
                  <c:v>6.0655293799078353E-3</c:v>
                </c:pt>
                <c:pt idx="8">
                  <c:v>1.501857135167135E-2</c:v>
                </c:pt>
                <c:pt idx="9">
                  <c:v>1.3417479847263689E-2</c:v>
                </c:pt>
                <c:pt idx="10">
                  <c:v>1.8420639489245928E-2</c:v>
                </c:pt>
                <c:pt idx="11">
                  <c:v>-2.9289347926623878E-3</c:v>
                </c:pt>
                <c:pt idx="12">
                  <c:v>-1.4842300556586249E-2</c:v>
                </c:pt>
                <c:pt idx="13">
                  <c:v>-8.4745762711863452E-3</c:v>
                </c:pt>
                <c:pt idx="14">
                  <c:v>2.8463648834019108E-2</c:v>
                </c:pt>
                <c:pt idx="15">
                  <c:v>-1.3115482938757217E-2</c:v>
                </c:pt>
                <c:pt idx="16">
                  <c:v>2.2360452926958155E-2</c:v>
                </c:pt>
                <c:pt idx="17">
                  <c:v>0</c:v>
                </c:pt>
                <c:pt idx="18">
                  <c:v>1.4439699003457207E-2</c:v>
                </c:pt>
                <c:pt idx="19">
                  <c:v>5.9141940657579106E-3</c:v>
                </c:pt>
                <c:pt idx="20">
                  <c:v>2.0727453911310596E-2</c:v>
                </c:pt>
                <c:pt idx="21">
                  <c:v>2.2942497315239448E-2</c:v>
                </c:pt>
                <c:pt idx="22">
                  <c:v>6.4420690971559464E-3</c:v>
                </c:pt>
                <c:pt idx="23">
                  <c:v>-1.5456829927457167E-2</c:v>
                </c:pt>
                <c:pt idx="24">
                  <c:v>-1.7914760414158352E-2</c:v>
                </c:pt>
                <c:pt idx="25">
                  <c:v>4.9036434070358294E-5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A-44C2-B8E9-A4A64D6A989D}"/>
            </c:ext>
          </c:extLst>
        </c:ser>
        <c:ser>
          <c:idx val="4"/>
          <c:order val="4"/>
          <c:tx>
            <c:strRef>
              <c:f>'Problem statement 4'!$I$2</c:f>
              <c:strCache>
                <c:ptCount val="1"/>
                <c:pt idx="0">
                  <c:v>Health Inflation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'Problem statement 4'!$C$3:$D$28</c:f>
              <c:multiLvlStrCache>
                <c:ptCount val="2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</c:lvl>
              </c:multiLvlStrCache>
            </c:multiLvlStrRef>
          </c:cat>
          <c:val>
            <c:numRef>
              <c:f>'Problem statement 4'!$I$3:$I$28</c:f>
              <c:numCache>
                <c:formatCode>0.00%</c:formatCode>
                <c:ptCount val="26"/>
                <c:pt idx="0" formatCode="General">
                  <c:v>0</c:v>
                </c:pt>
                <c:pt idx="1">
                  <c:v>6.4771500539762923E-3</c:v>
                </c:pt>
                <c:pt idx="2">
                  <c:v>-3.5752592062912369E-4</c:v>
                </c:pt>
                <c:pt idx="3">
                  <c:v>2.5035765379112611E-3</c:v>
                </c:pt>
                <c:pt idx="4">
                  <c:v>4.9946485907956979E-3</c:v>
                </c:pt>
                <c:pt idx="5">
                  <c:v>6.7447639332622539E-3</c:v>
                </c:pt>
                <c:pt idx="6">
                  <c:v>1.1636107193229739E-2</c:v>
                </c:pt>
                <c:pt idx="7">
                  <c:v>6.2739630533287264E-3</c:v>
                </c:pt>
                <c:pt idx="8">
                  <c:v>2.4246622791825032E-3</c:v>
                </c:pt>
                <c:pt idx="9">
                  <c:v>2.7643400138219359E-3</c:v>
                </c:pt>
                <c:pt idx="10">
                  <c:v>2.0675396278427493E-3</c:v>
                </c:pt>
                <c:pt idx="11">
                  <c:v>9.2847317744153661E-3</c:v>
                </c:pt>
                <c:pt idx="12">
                  <c:v>5.4514480408859381E-3</c:v>
                </c:pt>
                <c:pt idx="13">
                  <c:v>8.1328363266688474E-3</c:v>
                </c:pt>
                <c:pt idx="14">
                  <c:v>-8.3473389355742805E-3</c:v>
                </c:pt>
                <c:pt idx="15">
                  <c:v>2.7682051861476625E-3</c:v>
                </c:pt>
                <c:pt idx="16">
                  <c:v>3.4366197183098655E-2</c:v>
                </c:pt>
                <c:pt idx="17">
                  <c:v>0</c:v>
                </c:pt>
                <c:pt idx="18">
                  <c:v>1.0784313725490234E-2</c:v>
                </c:pt>
                <c:pt idx="19">
                  <c:v>1.5195602974458417E-2</c:v>
                </c:pt>
                <c:pt idx="20">
                  <c:v>-2.2292993630572888E-3</c:v>
                </c:pt>
                <c:pt idx="21">
                  <c:v>2.5534631343760335E-3</c:v>
                </c:pt>
                <c:pt idx="22">
                  <c:v>4.1388092964022745E-3</c:v>
                </c:pt>
                <c:pt idx="23">
                  <c:v>2.2194039315156801E-3</c:v>
                </c:pt>
                <c:pt idx="24">
                  <c:v>3.1635558367605187E-3</c:v>
                </c:pt>
                <c:pt idx="25">
                  <c:v>-5.0457269000316069E-3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8A-44C2-B8E9-A4A64D6A989D}"/>
            </c:ext>
          </c:extLst>
        </c:ser>
        <c:ser>
          <c:idx val="5"/>
          <c:order val="5"/>
          <c:tx>
            <c:strRef>
              <c:f>'Problem statement 4'!$J$2</c:f>
              <c:strCache>
                <c:ptCount val="1"/>
                <c:pt idx="0">
                  <c:v>Essential Inflation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'Problem statement 4'!$C$3:$D$28</c:f>
              <c:multiLvlStrCache>
                <c:ptCount val="2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</c:lvl>
                <c:lvl>
                  <c:pt idx="0">
                    <c:v>2019</c:v>
                  </c:pt>
                  <c:pt idx="1">
                    <c:v>2019</c:v>
                  </c:pt>
                  <c:pt idx="2">
                    <c:v>2019</c:v>
                  </c:pt>
                  <c:pt idx="3">
                    <c:v>2019</c:v>
                  </c:pt>
                  <c:pt idx="4">
                    <c:v>2019</c:v>
                  </c:pt>
                  <c:pt idx="5">
                    <c:v>2019</c:v>
                  </c:pt>
                  <c:pt idx="6">
                    <c:v>2019</c:v>
                  </c:pt>
                  <c:pt idx="7">
                    <c:v>2019</c:v>
                  </c:pt>
                  <c:pt idx="8">
                    <c:v>2019</c:v>
                  </c:pt>
                  <c:pt idx="9">
                    <c:v>2019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2020</c:v>
                  </c:pt>
                  <c:pt idx="13">
                    <c:v>2020</c:v>
                  </c:pt>
                  <c:pt idx="14">
                    <c:v>2020</c:v>
                  </c:pt>
                  <c:pt idx="15">
                    <c:v>2020</c:v>
                  </c:pt>
                  <c:pt idx="16">
                    <c:v>2020</c:v>
                  </c:pt>
                  <c:pt idx="17">
                    <c:v>2020</c:v>
                  </c:pt>
                  <c:pt idx="18">
                    <c:v>2020</c:v>
                  </c:pt>
                  <c:pt idx="19">
                    <c:v>2020</c:v>
                  </c:pt>
                  <c:pt idx="20">
                    <c:v>2020</c:v>
                  </c:pt>
                  <c:pt idx="21">
                    <c:v>2020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2021</c:v>
                  </c:pt>
                  <c:pt idx="25">
                    <c:v>2021</c:v>
                  </c:pt>
                </c:lvl>
              </c:multiLvlStrCache>
            </c:multiLvlStrRef>
          </c:cat>
          <c:val>
            <c:numRef>
              <c:f>'Problem statement 4'!$J$3:$J$28</c:f>
              <c:numCache>
                <c:formatCode>0.00%</c:formatCode>
                <c:ptCount val="26"/>
                <c:pt idx="0" formatCode="General">
                  <c:v>0</c:v>
                </c:pt>
                <c:pt idx="1">
                  <c:v>2.5982790619200037E-2</c:v>
                </c:pt>
                <c:pt idx="2">
                  <c:v>-6.2654168722249493E-2</c:v>
                </c:pt>
                <c:pt idx="3">
                  <c:v>3.8596491228070177E-2</c:v>
                </c:pt>
                <c:pt idx="4">
                  <c:v>2.9391891891891852E-2</c:v>
                </c:pt>
                <c:pt idx="5">
                  <c:v>-6.0551361995405284E-2</c:v>
                </c:pt>
                <c:pt idx="6">
                  <c:v>3.7030567685589599E-2</c:v>
                </c:pt>
                <c:pt idx="7">
                  <c:v>2.8128684520801635E-2</c:v>
                </c:pt>
                <c:pt idx="8">
                  <c:v>-5.7994757536041906E-2</c:v>
                </c:pt>
                <c:pt idx="9">
                  <c:v>3.5478260869565174E-2</c:v>
                </c:pt>
                <c:pt idx="10">
                  <c:v>2.8384279475982495E-2</c:v>
                </c:pt>
                <c:pt idx="11">
                  <c:v>-5.7651478033643566E-2</c:v>
                </c:pt>
                <c:pt idx="12">
                  <c:v>3.518197573656838E-2</c:v>
                </c:pt>
                <c:pt idx="13">
                  <c:v>2.4945588481500237E-2</c:v>
                </c:pt>
                <c:pt idx="14">
                  <c:v>-6.1417837308069476E-2</c:v>
                </c:pt>
                <c:pt idx="15">
                  <c:v>3.7765402018795767E-2</c:v>
                </c:pt>
                <c:pt idx="16">
                  <c:v>2.7670635586114566E-2</c:v>
                </c:pt>
                <c:pt idx="17">
                  <c:v>-6.2500000000000111E-2</c:v>
                </c:pt>
                <c:pt idx="18">
                  <c:v>3.8642297650130629E-2</c:v>
                </c:pt>
                <c:pt idx="19">
                  <c:v>2.8825205295793604E-2</c:v>
                </c:pt>
                <c:pt idx="20">
                  <c:v>-6.0433295324971707E-2</c:v>
                </c:pt>
                <c:pt idx="21">
                  <c:v>3.7101248266296773E-2</c:v>
                </c:pt>
                <c:pt idx="22">
                  <c:v>2.9087261785356033E-2</c:v>
                </c:pt>
                <c:pt idx="23">
                  <c:v>-5.6530214424951201E-2</c:v>
                </c:pt>
                <c:pt idx="24">
                  <c:v>3.460743801652897E-2</c:v>
                </c:pt>
                <c:pt idx="25">
                  <c:v>2.8457314028956605E-2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8A-44C2-B8E9-A4A64D6A9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0764223"/>
        <c:axId val="21207695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'Problem statement 4'!$E$2</c15:sqref>
                        </c15:formulaRef>
                      </c:ext>
                    </c:extLst>
                    <c:strCache>
                      <c:ptCount val="1"/>
                      <c:pt idx="0">
                        <c:v>Food &amp; Beverages</c:v>
                      </c:pt>
                    </c:strCache>
                  </c:strRef>
                </c:tx>
                <c:spPr>
                  <a:ln w="349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'Problem statement 4'!$C$3:$D$28</c15:sqref>
                        </c15:formulaRef>
                      </c:ext>
                    </c:extLst>
                    <c:multiLvlStrCache>
                      <c:ptCount val="26"/>
                      <c:lvl>
                        <c:pt idx="0">
                          <c:v>January</c:v>
                        </c:pt>
                        <c:pt idx="1">
                          <c:v>February</c:v>
                        </c:pt>
                        <c:pt idx="2">
                          <c:v>March</c:v>
                        </c:pt>
                        <c:pt idx="3">
                          <c:v>May</c:v>
                        </c:pt>
                        <c:pt idx="4">
                          <c:v>June</c:v>
                        </c:pt>
                        <c:pt idx="5">
                          <c:v>July</c:v>
                        </c:pt>
                        <c:pt idx="6">
                          <c:v>August</c:v>
                        </c:pt>
                        <c:pt idx="7">
                          <c:v>September</c:v>
                        </c:pt>
                        <c:pt idx="8">
                          <c:v>October</c:v>
                        </c:pt>
                        <c:pt idx="9">
                          <c:v>November</c:v>
                        </c:pt>
                        <c:pt idx="10">
                          <c:v>December</c:v>
                        </c:pt>
                        <c:pt idx="11">
                          <c:v>January</c:v>
                        </c:pt>
                        <c:pt idx="12">
                          <c:v>February</c:v>
                        </c:pt>
                        <c:pt idx="13">
                          <c:v>March</c:v>
                        </c:pt>
                        <c:pt idx="14">
                          <c:v>April</c:v>
                        </c:pt>
                        <c:pt idx="15">
                          <c:v>May</c:v>
                        </c:pt>
                        <c:pt idx="16">
                          <c:v>June</c:v>
                        </c:pt>
                        <c:pt idx="17">
                          <c:v>July</c:v>
                        </c:pt>
                        <c:pt idx="18">
                          <c:v>August</c:v>
                        </c:pt>
                        <c:pt idx="19">
                          <c:v>September</c:v>
                        </c:pt>
                        <c:pt idx="20">
                          <c:v>October</c:v>
                        </c:pt>
                        <c:pt idx="21">
                          <c:v>November</c:v>
                        </c:pt>
                        <c:pt idx="22">
                          <c:v>December</c:v>
                        </c:pt>
                        <c:pt idx="23">
                          <c:v>January</c:v>
                        </c:pt>
                        <c:pt idx="24">
                          <c:v>February</c:v>
                        </c:pt>
                        <c:pt idx="25">
                          <c:v>March</c:v>
                        </c:pt>
                      </c:lvl>
                      <c:lvl>
                        <c:pt idx="0">
                          <c:v>2019</c:v>
                        </c:pt>
                        <c:pt idx="1">
                          <c:v>2019</c:v>
                        </c:pt>
                        <c:pt idx="2">
                          <c:v>2019</c:v>
                        </c:pt>
                        <c:pt idx="3">
                          <c:v>2019</c:v>
                        </c:pt>
                        <c:pt idx="4">
                          <c:v>2019</c:v>
                        </c:pt>
                        <c:pt idx="5">
                          <c:v>2019</c:v>
                        </c:pt>
                        <c:pt idx="6">
                          <c:v>2019</c:v>
                        </c:pt>
                        <c:pt idx="7">
                          <c:v>2019</c:v>
                        </c:pt>
                        <c:pt idx="8">
                          <c:v>2019</c:v>
                        </c:pt>
                        <c:pt idx="9">
                          <c:v>2019</c:v>
                        </c:pt>
                        <c:pt idx="10">
                          <c:v>2019</c:v>
                        </c:pt>
                        <c:pt idx="11">
                          <c:v>2020</c:v>
                        </c:pt>
                        <c:pt idx="12">
                          <c:v>2020</c:v>
                        </c:pt>
                        <c:pt idx="13">
                          <c:v>2020</c:v>
                        </c:pt>
                        <c:pt idx="14">
                          <c:v>2020</c:v>
                        </c:pt>
                        <c:pt idx="15">
                          <c:v>2020</c:v>
                        </c:pt>
                        <c:pt idx="16">
                          <c:v>2020</c:v>
                        </c:pt>
                        <c:pt idx="17">
                          <c:v>2020</c:v>
                        </c:pt>
                        <c:pt idx="18">
                          <c:v>2020</c:v>
                        </c:pt>
                        <c:pt idx="19">
                          <c:v>2020</c:v>
                        </c:pt>
                        <c:pt idx="20">
                          <c:v>2020</c:v>
                        </c:pt>
                        <c:pt idx="21">
                          <c:v>2020</c:v>
                        </c:pt>
                        <c:pt idx="22">
                          <c:v>2020</c:v>
                        </c:pt>
                        <c:pt idx="23">
                          <c:v>2021</c:v>
                        </c:pt>
                        <c:pt idx="24">
                          <c:v>2021</c:v>
                        </c:pt>
                        <c:pt idx="25">
                          <c:v>2021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'Problem statement 4'!$E$3:$E$28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1753.3999999999999</c:v>
                      </c:pt>
                      <c:pt idx="1">
                        <c:v>1757.1</c:v>
                      </c:pt>
                      <c:pt idx="2">
                        <c:v>1762.9</c:v>
                      </c:pt>
                      <c:pt idx="3">
                        <c:v>1791.9000000000003</c:v>
                      </c:pt>
                      <c:pt idx="4">
                        <c:v>1814.1000000000001</c:v>
                      </c:pt>
                      <c:pt idx="5">
                        <c:v>1837.5</c:v>
                      </c:pt>
                      <c:pt idx="6">
                        <c:v>1846.5</c:v>
                      </c:pt>
                      <c:pt idx="7">
                        <c:v>1857.6999999999998</c:v>
                      </c:pt>
                      <c:pt idx="8">
                        <c:v>1885.5999999999997</c:v>
                      </c:pt>
                      <c:pt idx="9">
                        <c:v>1910.9</c:v>
                      </c:pt>
                      <c:pt idx="10">
                        <c:v>1946.1000000000001</c:v>
                      </c:pt>
                      <c:pt idx="11">
                        <c:v>1940.3999999999999</c:v>
                      </c:pt>
                      <c:pt idx="12">
                        <c:v>1911.6</c:v>
                      </c:pt>
                      <c:pt idx="13">
                        <c:v>1895.4</c:v>
                      </c:pt>
                      <c:pt idx="14">
                        <c:v>1949.35</c:v>
                      </c:pt>
                      <c:pt idx="15" formatCode="0.00">
                        <c:v>1923.7833333333335</c:v>
                      </c:pt>
                      <c:pt idx="16">
                        <c:v>1966.8000000000002</c:v>
                      </c:pt>
                      <c:pt idx="17">
                        <c:v>1966.8000000000002</c:v>
                      </c:pt>
                      <c:pt idx="18">
                        <c:v>1995.1999999999998</c:v>
                      </c:pt>
                      <c:pt idx="19">
                        <c:v>2007</c:v>
                      </c:pt>
                      <c:pt idx="20">
                        <c:v>2048.6000000000004</c:v>
                      </c:pt>
                      <c:pt idx="21">
                        <c:v>2095.6</c:v>
                      </c:pt>
                      <c:pt idx="22">
                        <c:v>2109.1</c:v>
                      </c:pt>
                      <c:pt idx="23">
                        <c:v>2076.5</c:v>
                      </c:pt>
                      <c:pt idx="24">
                        <c:v>2039.3000000000002</c:v>
                      </c:pt>
                      <c:pt idx="25">
                        <c:v>2039.3999999999999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78A-44C2-B8E9-A4A64D6A989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4'!$F$2</c15:sqref>
                        </c15:formulaRef>
                      </c:ext>
                    </c:extLst>
                    <c:strCache>
                      <c:ptCount val="1"/>
                      <c:pt idx="0">
                        <c:v>Health and Personal care</c:v>
                      </c:pt>
                    </c:strCache>
                  </c:strRef>
                </c:tx>
                <c:spPr>
                  <a:ln w="34925" cap="rnd">
                    <a:solidFill>
                      <a:schemeClr val="accent2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4'!$C$3:$D$28</c15:sqref>
                        </c15:formulaRef>
                      </c:ext>
                    </c:extLst>
                    <c:multiLvlStrCache>
                      <c:ptCount val="26"/>
                      <c:lvl>
                        <c:pt idx="0">
                          <c:v>January</c:v>
                        </c:pt>
                        <c:pt idx="1">
                          <c:v>February</c:v>
                        </c:pt>
                        <c:pt idx="2">
                          <c:v>March</c:v>
                        </c:pt>
                        <c:pt idx="3">
                          <c:v>May</c:v>
                        </c:pt>
                        <c:pt idx="4">
                          <c:v>June</c:v>
                        </c:pt>
                        <c:pt idx="5">
                          <c:v>July</c:v>
                        </c:pt>
                        <c:pt idx="6">
                          <c:v>August</c:v>
                        </c:pt>
                        <c:pt idx="7">
                          <c:v>September</c:v>
                        </c:pt>
                        <c:pt idx="8">
                          <c:v>October</c:v>
                        </c:pt>
                        <c:pt idx="9">
                          <c:v>November</c:v>
                        </c:pt>
                        <c:pt idx="10">
                          <c:v>December</c:v>
                        </c:pt>
                        <c:pt idx="11">
                          <c:v>January</c:v>
                        </c:pt>
                        <c:pt idx="12">
                          <c:v>February</c:v>
                        </c:pt>
                        <c:pt idx="13">
                          <c:v>March</c:v>
                        </c:pt>
                        <c:pt idx="14">
                          <c:v>April</c:v>
                        </c:pt>
                        <c:pt idx="15">
                          <c:v>May</c:v>
                        </c:pt>
                        <c:pt idx="16">
                          <c:v>June</c:v>
                        </c:pt>
                        <c:pt idx="17">
                          <c:v>July</c:v>
                        </c:pt>
                        <c:pt idx="18">
                          <c:v>August</c:v>
                        </c:pt>
                        <c:pt idx="19">
                          <c:v>September</c:v>
                        </c:pt>
                        <c:pt idx="20">
                          <c:v>October</c:v>
                        </c:pt>
                        <c:pt idx="21">
                          <c:v>November</c:v>
                        </c:pt>
                        <c:pt idx="22">
                          <c:v>December</c:v>
                        </c:pt>
                        <c:pt idx="23">
                          <c:v>January</c:v>
                        </c:pt>
                        <c:pt idx="24">
                          <c:v>February</c:v>
                        </c:pt>
                        <c:pt idx="25">
                          <c:v>March</c:v>
                        </c:pt>
                      </c:lvl>
                      <c:lvl>
                        <c:pt idx="0">
                          <c:v>2019</c:v>
                        </c:pt>
                        <c:pt idx="1">
                          <c:v>2019</c:v>
                        </c:pt>
                        <c:pt idx="2">
                          <c:v>2019</c:v>
                        </c:pt>
                        <c:pt idx="3">
                          <c:v>2019</c:v>
                        </c:pt>
                        <c:pt idx="4">
                          <c:v>2019</c:v>
                        </c:pt>
                        <c:pt idx="5">
                          <c:v>2019</c:v>
                        </c:pt>
                        <c:pt idx="6">
                          <c:v>2019</c:v>
                        </c:pt>
                        <c:pt idx="7">
                          <c:v>2019</c:v>
                        </c:pt>
                        <c:pt idx="8">
                          <c:v>2019</c:v>
                        </c:pt>
                        <c:pt idx="9">
                          <c:v>2019</c:v>
                        </c:pt>
                        <c:pt idx="10">
                          <c:v>2019</c:v>
                        </c:pt>
                        <c:pt idx="11">
                          <c:v>2020</c:v>
                        </c:pt>
                        <c:pt idx="12">
                          <c:v>2020</c:v>
                        </c:pt>
                        <c:pt idx="13">
                          <c:v>2020</c:v>
                        </c:pt>
                        <c:pt idx="14">
                          <c:v>2020</c:v>
                        </c:pt>
                        <c:pt idx="15">
                          <c:v>2020</c:v>
                        </c:pt>
                        <c:pt idx="16">
                          <c:v>2020</c:v>
                        </c:pt>
                        <c:pt idx="17">
                          <c:v>2020</c:v>
                        </c:pt>
                        <c:pt idx="18">
                          <c:v>2020</c:v>
                        </c:pt>
                        <c:pt idx="19">
                          <c:v>2020</c:v>
                        </c:pt>
                        <c:pt idx="20">
                          <c:v>2020</c:v>
                        </c:pt>
                        <c:pt idx="21">
                          <c:v>2020</c:v>
                        </c:pt>
                        <c:pt idx="22">
                          <c:v>2020</c:v>
                        </c:pt>
                        <c:pt idx="23">
                          <c:v>2021</c:v>
                        </c:pt>
                        <c:pt idx="24">
                          <c:v>2021</c:v>
                        </c:pt>
                        <c:pt idx="25">
                          <c:v>2021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4'!$F$3:$F$28</c15:sqref>
                        </c15:formulaRef>
                      </c:ext>
                    </c:extLst>
                    <c:numCache>
                      <c:formatCode>0.00</c:formatCode>
                      <c:ptCount val="26"/>
                      <c:pt idx="0">
                        <c:v>277.89999999999998</c:v>
                      </c:pt>
                      <c:pt idx="1">
                        <c:v>279.7</c:v>
                      </c:pt>
                      <c:pt idx="2">
                        <c:v>279.60000000000002</c:v>
                      </c:pt>
                      <c:pt idx="3">
                        <c:v>280.3</c:v>
                      </c:pt>
                      <c:pt idx="4">
                        <c:v>281.70000000000005</c:v>
                      </c:pt>
                      <c:pt idx="5">
                        <c:v>283.60000000000002</c:v>
                      </c:pt>
                      <c:pt idx="6">
                        <c:v>286.89999999999998</c:v>
                      </c:pt>
                      <c:pt idx="7">
                        <c:v>288.7</c:v>
                      </c:pt>
                      <c:pt idx="8">
                        <c:v>289.39999999999998</c:v>
                      </c:pt>
                      <c:pt idx="9">
                        <c:v>290.20000000000005</c:v>
                      </c:pt>
                      <c:pt idx="10">
                        <c:v>290.8</c:v>
                      </c:pt>
                      <c:pt idx="11">
                        <c:v>293.5</c:v>
                      </c:pt>
                      <c:pt idx="12">
                        <c:v>295.10000000000002</c:v>
                      </c:pt>
                      <c:pt idx="13">
                        <c:v>297.5</c:v>
                      </c:pt>
                      <c:pt idx="14">
                        <c:v>295.01666666666665</c:v>
                      </c:pt>
                      <c:pt idx="15">
                        <c:v>295.83333333333331</c:v>
                      </c:pt>
                      <c:pt idx="16">
                        <c:v>306</c:v>
                      </c:pt>
                      <c:pt idx="17">
                        <c:v>306</c:v>
                      </c:pt>
                      <c:pt idx="18">
                        <c:v>309.3</c:v>
                      </c:pt>
                      <c:pt idx="19">
                        <c:v>314</c:v>
                      </c:pt>
                      <c:pt idx="20">
                        <c:v>313.3</c:v>
                      </c:pt>
                      <c:pt idx="21">
                        <c:v>314.10000000000002</c:v>
                      </c:pt>
                      <c:pt idx="22">
                        <c:v>315.39999999999998</c:v>
                      </c:pt>
                      <c:pt idx="23">
                        <c:v>316.10000000000002</c:v>
                      </c:pt>
                      <c:pt idx="24">
                        <c:v>317.10000000000002</c:v>
                      </c:pt>
                      <c:pt idx="25">
                        <c:v>315.5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78A-44C2-B8E9-A4A64D6A989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4'!$G$2</c15:sqref>
                        </c15:formulaRef>
                      </c:ext>
                    </c:extLst>
                    <c:strCache>
                      <c:ptCount val="1"/>
                      <c:pt idx="0">
                        <c:v>Essential</c:v>
                      </c:pt>
                    </c:strCache>
                  </c:strRef>
                </c:tx>
                <c:spPr>
                  <a:ln w="349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4'!$C$3:$D$28</c15:sqref>
                        </c15:formulaRef>
                      </c:ext>
                    </c:extLst>
                    <c:multiLvlStrCache>
                      <c:ptCount val="26"/>
                      <c:lvl>
                        <c:pt idx="0">
                          <c:v>January</c:v>
                        </c:pt>
                        <c:pt idx="1">
                          <c:v>February</c:v>
                        </c:pt>
                        <c:pt idx="2">
                          <c:v>March</c:v>
                        </c:pt>
                        <c:pt idx="3">
                          <c:v>May</c:v>
                        </c:pt>
                        <c:pt idx="4">
                          <c:v>June</c:v>
                        </c:pt>
                        <c:pt idx="5">
                          <c:v>July</c:v>
                        </c:pt>
                        <c:pt idx="6">
                          <c:v>August</c:v>
                        </c:pt>
                        <c:pt idx="7">
                          <c:v>September</c:v>
                        </c:pt>
                        <c:pt idx="8">
                          <c:v>October</c:v>
                        </c:pt>
                        <c:pt idx="9">
                          <c:v>November</c:v>
                        </c:pt>
                        <c:pt idx="10">
                          <c:v>December</c:v>
                        </c:pt>
                        <c:pt idx="11">
                          <c:v>January</c:v>
                        </c:pt>
                        <c:pt idx="12">
                          <c:v>February</c:v>
                        </c:pt>
                        <c:pt idx="13">
                          <c:v>March</c:v>
                        </c:pt>
                        <c:pt idx="14">
                          <c:v>April</c:v>
                        </c:pt>
                        <c:pt idx="15">
                          <c:v>May</c:v>
                        </c:pt>
                        <c:pt idx="16">
                          <c:v>June</c:v>
                        </c:pt>
                        <c:pt idx="17">
                          <c:v>July</c:v>
                        </c:pt>
                        <c:pt idx="18">
                          <c:v>August</c:v>
                        </c:pt>
                        <c:pt idx="19">
                          <c:v>September</c:v>
                        </c:pt>
                        <c:pt idx="20">
                          <c:v>October</c:v>
                        </c:pt>
                        <c:pt idx="21">
                          <c:v>November</c:v>
                        </c:pt>
                        <c:pt idx="22">
                          <c:v>December</c:v>
                        </c:pt>
                        <c:pt idx="23">
                          <c:v>January</c:v>
                        </c:pt>
                        <c:pt idx="24">
                          <c:v>February</c:v>
                        </c:pt>
                        <c:pt idx="25">
                          <c:v>March</c:v>
                        </c:pt>
                      </c:lvl>
                      <c:lvl>
                        <c:pt idx="0">
                          <c:v>2019</c:v>
                        </c:pt>
                        <c:pt idx="1">
                          <c:v>2019</c:v>
                        </c:pt>
                        <c:pt idx="2">
                          <c:v>2019</c:v>
                        </c:pt>
                        <c:pt idx="3">
                          <c:v>2019</c:v>
                        </c:pt>
                        <c:pt idx="4">
                          <c:v>2019</c:v>
                        </c:pt>
                        <c:pt idx="5">
                          <c:v>2019</c:v>
                        </c:pt>
                        <c:pt idx="6">
                          <c:v>2019</c:v>
                        </c:pt>
                        <c:pt idx="7">
                          <c:v>2019</c:v>
                        </c:pt>
                        <c:pt idx="8">
                          <c:v>2019</c:v>
                        </c:pt>
                        <c:pt idx="9">
                          <c:v>2019</c:v>
                        </c:pt>
                        <c:pt idx="10">
                          <c:v>2019</c:v>
                        </c:pt>
                        <c:pt idx="11">
                          <c:v>2020</c:v>
                        </c:pt>
                        <c:pt idx="12">
                          <c:v>2020</c:v>
                        </c:pt>
                        <c:pt idx="13">
                          <c:v>2020</c:v>
                        </c:pt>
                        <c:pt idx="14">
                          <c:v>2020</c:v>
                        </c:pt>
                        <c:pt idx="15">
                          <c:v>2020</c:v>
                        </c:pt>
                        <c:pt idx="16">
                          <c:v>2020</c:v>
                        </c:pt>
                        <c:pt idx="17">
                          <c:v>2020</c:v>
                        </c:pt>
                        <c:pt idx="18">
                          <c:v>2020</c:v>
                        </c:pt>
                        <c:pt idx="19">
                          <c:v>2020</c:v>
                        </c:pt>
                        <c:pt idx="20">
                          <c:v>2020</c:v>
                        </c:pt>
                        <c:pt idx="21">
                          <c:v>2020</c:v>
                        </c:pt>
                        <c:pt idx="22">
                          <c:v>2020</c:v>
                        </c:pt>
                        <c:pt idx="23">
                          <c:v>2021</c:v>
                        </c:pt>
                        <c:pt idx="24">
                          <c:v>2021</c:v>
                        </c:pt>
                        <c:pt idx="25">
                          <c:v>2021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'Problem statement 4'!$G$3:$G$28</c15:sqref>
                        </c15:formulaRef>
                      </c:ext>
                    </c:extLst>
                    <c:numCache>
                      <c:formatCode>0.00</c:formatCode>
                      <c:ptCount val="26"/>
                      <c:pt idx="0">
                        <c:v>592.70000000000005</c:v>
                      </c:pt>
                      <c:pt idx="1">
                        <c:v>608.09999999999991</c:v>
                      </c:pt>
                      <c:pt idx="2">
                        <c:v>570</c:v>
                      </c:pt>
                      <c:pt idx="3">
                        <c:v>592</c:v>
                      </c:pt>
                      <c:pt idx="4">
                        <c:v>609.4</c:v>
                      </c:pt>
                      <c:pt idx="5">
                        <c:v>572.5</c:v>
                      </c:pt>
                      <c:pt idx="6">
                        <c:v>593.70000000000005</c:v>
                      </c:pt>
                      <c:pt idx="7">
                        <c:v>610.4</c:v>
                      </c:pt>
                      <c:pt idx="8">
                        <c:v>575</c:v>
                      </c:pt>
                      <c:pt idx="9">
                        <c:v>595.4</c:v>
                      </c:pt>
                      <c:pt idx="10">
                        <c:v>612.29999999999995</c:v>
                      </c:pt>
                      <c:pt idx="11">
                        <c:v>577</c:v>
                      </c:pt>
                      <c:pt idx="12">
                        <c:v>597.29999999999995</c:v>
                      </c:pt>
                      <c:pt idx="13">
                        <c:v>612.20000000000005</c:v>
                      </c:pt>
                      <c:pt idx="14">
                        <c:v>574.59999999999991</c:v>
                      </c:pt>
                      <c:pt idx="15">
                        <c:v>596.29999999999995</c:v>
                      </c:pt>
                      <c:pt idx="16">
                        <c:v>612.80000000000007</c:v>
                      </c:pt>
                      <c:pt idx="17">
                        <c:v>574.5</c:v>
                      </c:pt>
                      <c:pt idx="18">
                        <c:v>596.70000000000005</c:v>
                      </c:pt>
                      <c:pt idx="19">
                        <c:v>613.90000000000009</c:v>
                      </c:pt>
                      <c:pt idx="20">
                        <c:v>576.79999999999995</c:v>
                      </c:pt>
                      <c:pt idx="21">
                        <c:v>598.19999999999993</c:v>
                      </c:pt>
                      <c:pt idx="22">
                        <c:v>615.59999999999991</c:v>
                      </c:pt>
                      <c:pt idx="23">
                        <c:v>580.79999999999995</c:v>
                      </c:pt>
                      <c:pt idx="24">
                        <c:v>600.9</c:v>
                      </c:pt>
                      <c:pt idx="25">
                        <c:v>618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78A-44C2-B8E9-A4A64D6A989D}"/>
                  </c:ext>
                </c:extLst>
              </c15:ser>
            </c15:filteredLineSeries>
          </c:ext>
        </c:extLst>
      </c:lineChart>
      <c:catAx>
        <c:axId val="212076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69503"/>
        <c:crosses val="autoZero"/>
        <c:auto val="1"/>
        <c:lblAlgn val="ctr"/>
        <c:lblOffset val="100"/>
        <c:noMultiLvlLbl val="0"/>
      </c:catAx>
      <c:valAx>
        <c:axId val="2120769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076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Crude</a:t>
            </a:r>
            <a:r>
              <a:rPr lang="en-US" baseline="0"/>
              <a:t> oil Inflation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'Problem statement 5'!$E$1</c:f>
              <c:strCache>
                <c:ptCount val="1"/>
                <c:pt idx="0">
                  <c:v>Crude  Oil 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'Problem statement 5'!$C$2:$D$30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2022</c:v>
                  </c:pt>
                  <c:pt idx="22">
                    <c:v>2022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</c:lvl>
              </c:multiLvlStrCache>
            </c:multiLvlStrRef>
          </c:cat>
          <c:val>
            <c:numRef>
              <c:f>'Problem statement 5'!$E$2:$E$30</c:f>
              <c:numCache>
                <c:formatCode>0.00</c:formatCode>
                <c:ptCount val="29"/>
                <c:pt idx="0">
                  <c:v>3918.56</c:v>
                </c:pt>
                <c:pt idx="1">
                  <c:v>4399.41</c:v>
                </c:pt>
                <c:pt idx="2">
                  <c:v>4646.3599999999997</c:v>
                </c:pt>
                <c:pt idx="3">
                  <c:v>4684.6400000000003</c:v>
                </c:pt>
                <c:pt idx="4">
                  <c:v>4870.9799999999996</c:v>
                </c:pt>
                <c:pt idx="5">
                  <c:v>5281.48</c:v>
                </c:pt>
                <c:pt idx="6">
                  <c:v>5460.9</c:v>
                </c:pt>
                <c:pt idx="7">
                  <c:v>5108.7299999999996</c:v>
                </c:pt>
                <c:pt idx="8">
                  <c:v>5359.17</c:v>
                </c:pt>
                <c:pt idx="9">
                  <c:v>6146.58</c:v>
                </c:pt>
                <c:pt idx="10">
                  <c:v>5952.69</c:v>
                </c:pt>
                <c:pt idx="11">
                  <c:v>5504.55</c:v>
                </c:pt>
                <c:pt idx="12">
                  <c:v>6247.71</c:v>
                </c:pt>
                <c:pt idx="13">
                  <c:v>7018.51</c:v>
                </c:pt>
                <c:pt idx="14">
                  <c:v>8569.8799999999992</c:v>
                </c:pt>
                <c:pt idx="15">
                  <c:v>7877.96</c:v>
                </c:pt>
                <c:pt idx="16">
                  <c:v>8511.74</c:v>
                </c:pt>
                <c:pt idx="17">
                  <c:v>9119.5499999999993</c:v>
                </c:pt>
                <c:pt idx="18">
                  <c:v>8366.39</c:v>
                </c:pt>
                <c:pt idx="19">
                  <c:v>7634.9</c:v>
                </c:pt>
                <c:pt idx="20">
                  <c:v>7079.45</c:v>
                </c:pt>
                <c:pt idx="21">
                  <c:v>7437.13</c:v>
                </c:pt>
                <c:pt idx="22">
                  <c:v>7150.11</c:v>
                </c:pt>
                <c:pt idx="23">
                  <c:v>6429.95</c:v>
                </c:pt>
                <c:pt idx="24">
                  <c:v>6584.69</c:v>
                </c:pt>
                <c:pt idx="25">
                  <c:v>6628.99</c:v>
                </c:pt>
                <c:pt idx="26">
                  <c:v>6292.9</c:v>
                </c:pt>
                <c:pt idx="27">
                  <c:v>6763.43</c:v>
                </c:pt>
                <c:pt idx="28">
                  <c:v>6102.52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C-4FE3-96B6-873F9EE45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2818720"/>
        <c:axId val="342824480"/>
      </c:barChart>
      <c:lineChart>
        <c:grouping val="standard"/>
        <c:varyColors val="0"/>
        <c:ser>
          <c:idx val="1"/>
          <c:order val="1"/>
          <c:tx>
            <c:strRef>
              <c:f>'Problem statement 5'!$F$1</c:f>
              <c:strCache>
                <c:ptCount val="1"/>
                <c:pt idx="0">
                  <c:v>Inflation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multiLvlStrRef>
              <c:f>'Problem statement 5'!$C$2:$D$30</c:f>
              <c:multiLvlStrCache>
                <c:ptCount val="29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</c:lvl>
                <c:lvl>
                  <c:pt idx="0">
                    <c:v>2021</c:v>
                  </c:pt>
                  <c:pt idx="1">
                    <c:v>2021</c:v>
                  </c:pt>
                  <c:pt idx="2">
                    <c:v>2021</c:v>
                  </c:pt>
                  <c:pt idx="3">
                    <c:v>2021</c:v>
                  </c:pt>
                  <c:pt idx="4">
                    <c:v>2021</c:v>
                  </c:pt>
                  <c:pt idx="5">
                    <c:v>2021</c:v>
                  </c:pt>
                  <c:pt idx="6">
                    <c:v>2021</c:v>
                  </c:pt>
                  <c:pt idx="7">
                    <c:v>2021</c:v>
                  </c:pt>
                  <c:pt idx="8">
                    <c:v>2021</c:v>
                  </c:pt>
                  <c:pt idx="9">
                    <c:v>2021</c:v>
                  </c:pt>
                  <c:pt idx="10">
                    <c:v>2021</c:v>
                  </c:pt>
                  <c:pt idx="11">
                    <c:v>2021</c:v>
                  </c:pt>
                  <c:pt idx="12">
                    <c:v>2022</c:v>
                  </c:pt>
                  <c:pt idx="13">
                    <c:v>2022</c:v>
                  </c:pt>
                  <c:pt idx="14">
                    <c:v>2022</c:v>
                  </c:pt>
                  <c:pt idx="15">
                    <c:v>2022</c:v>
                  </c:pt>
                  <c:pt idx="16">
                    <c:v>2022</c:v>
                  </c:pt>
                  <c:pt idx="17">
                    <c:v>2022</c:v>
                  </c:pt>
                  <c:pt idx="18">
                    <c:v>2022</c:v>
                  </c:pt>
                  <c:pt idx="19">
                    <c:v>2022</c:v>
                  </c:pt>
                  <c:pt idx="20">
                    <c:v>2022</c:v>
                  </c:pt>
                  <c:pt idx="21">
                    <c:v>2022</c:v>
                  </c:pt>
                  <c:pt idx="22">
                    <c:v>2022</c:v>
                  </c:pt>
                  <c:pt idx="23">
                    <c:v>2022</c:v>
                  </c:pt>
                  <c:pt idx="24">
                    <c:v>2023</c:v>
                  </c:pt>
                  <c:pt idx="25">
                    <c:v>2023</c:v>
                  </c:pt>
                  <c:pt idx="26">
                    <c:v>2023</c:v>
                  </c:pt>
                  <c:pt idx="27">
                    <c:v>2023</c:v>
                  </c:pt>
                  <c:pt idx="28">
                    <c:v>2023</c:v>
                  </c:pt>
                </c:lvl>
              </c:multiLvlStrCache>
            </c:multiLvlStrRef>
          </c:cat>
          <c:val>
            <c:numRef>
              <c:f>'Problem statement 5'!$F$2:$F$30</c:f>
              <c:numCache>
                <c:formatCode>0.0%</c:formatCode>
                <c:ptCount val="29"/>
                <c:pt idx="0">
                  <c:v>9.1700000000000004E-2</c:v>
                </c:pt>
                <c:pt idx="1">
                  <c:v>0.1227</c:v>
                </c:pt>
                <c:pt idx="2">
                  <c:v>5.6099999999999997E-2</c:v>
                </c:pt>
                <c:pt idx="3">
                  <c:v>8.2000000000000007E-3</c:v>
                </c:pt>
                <c:pt idx="4">
                  <c:v>3.9800000000000002E-2</c:v>
                </c:pt>
                <c:pt idx="5">
                  <c:v>8.43E-2</c:v>
                </c:pt>
                <c:pt idx="6">
                  <c:v>3.4000000000000002E-2</c:v>
                </c:pt>
                <c:pt idx="7">
                  <c:v>-6.4500000000000002E-2</c:v>
                </c:pt>
                <c:pt idx="8">
                  <c:v>4.9000000000000002E-2</c:v>
                </c:pt>
                <c:pt idx="9">
                  <c:v>0.1469</c:v>
                </c:pt>
                <c:pt idx="10">
                  <c:v>-3.15E-2</c:v>
                </c:pt>
                <c:pt idx="11">
                  <c:v>-7.5300000000000006E-2</c:v>
                </c:pt>
                <c:pt idx="12">
                  <c:v>0.13500000000000001</c:v>
                </c:pt>
                <c:pt idx="13">
                  <c:v>0.1234</c:v>
                </c:pt>
                <c:pt idx="14">
                  <c:v>0.221</c:v>
                </c:pt>
                <c:pt idx="15">
                  <c:v>-8.0699999999999994E-2</c:v>
                </c:pt>
                <c:pt idx="16">
                  <c:v>8.0500000000000002E-2</c:v>
                </c:pt>
                <c:pt idx="17">
                  <c:v>7.1400000000000005E-2</c:v>
                </c:pt>
                <c:pt idx="18">
                  <c:v>-8.2600000000000007E-2</c:v>
                </c:pt>
                <c:pt idx="19">
                  <c:v>-8.7400000000000005E-2</c:v>
                </c:pt>
                <c:pt idx="20">
                  <c:v>-7.2800000000000004E-2</c:v>
                </c:pt>
                <c:pt idx="21">
                  <c:v>5.0500000000000003E-2</c:v>
                </c:pt>
                <c:pt idx="22">
                  <c:v>-3.8600000000000002E-2</c:v>
                </c:pt>
                <c:pt idx="23">
                  <c:v>-0.1007</c:v>
                </c:pt>
                <c:pt idx="24">
                  <c:v>2.41E-2</c:v>
                </c:pt>
                <c:pt idx="25">
                  <c:v>6.7000000000000002E-3</c:v>
                </c:pt>
                <c:pt idx="26">
                  <c:v>-5.0700000000000002E-2</c:v>
                </c:pt>
                <c:pt idx="27">
                  <c:v>7.4800000000000005E-2</c:v>
                </c:pt>
                <c:pt idx="28">
                  <c:v>-9.7699999999999995E-2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AC-4FE3-96B6-873F9EE45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2826880"/>
        <c:axId val="342821120"/>
      </c:lineChart>
      <c:catAx>
        <c:axId val="3428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824480"/>
        <c:crosses val="autoZero"/>
        <c:auto val="1"/>
        <c:lblAlgn val="ctr"/>
        <c:lblOffset val="100"/>
        <c:noMultiLvlLbl val="0"/>
      </c:catAx>
      <c:valAx>
        <c:axId val="34282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818720"/>
        <c:crosses val="autoZero"/>
        <c:crossBetween val="between"/>
      </c:valAx>
      <c:valAx>
        <c:axId val="342821120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2826880"/>
        <c:crosses val="max"/>
        <c:crossBetween val="between"/>
      </c:valAx>
      <c:catAx>
        <c:axId val="342826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2821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Crude Oil Price vs Categories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Crude Oil Price vs Categories</a:t>
          </a:r>
        </a:p>
      </cx:txPr>
    </cx:title>
    <cx:plotArea>
      <cx:plotAreaRegion>
        <cx:series layoutId="clusteredColumn" uniqueId="{021388B6-1CD4-4831-BEAF-50F0E61FE3C2}">
          <cx:tx>
            <cx:txData>
              <cx:f>_xlchart.v1.1</cx:f>
              <cx:v>Correlation</cx:v>
            </cx:txData>
          </cx:tx>
          <cx:dataId val="0"/>
          <cx:layoutPr>
            <cx:aggregation/>
          </cx:layoutPr>
          <cx:axisId val="1"/>
        </cx:series>
        <cx:series layoutId="paretoLine" ownerIdx="0" uniqueId="{9317DC9F-ABFA-4C75-AABE-B47A0F4223D6}">
          <cx:axisId val="2"/>
        </cx:series>
      </cx:plotAreaRegion>
      <cx:axis id="0">
        <cx:catScaling gapWidth="0"/>
        <cx:title>
          <cx:tx>
            <cx:txData>
              <cx:v>Category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Aptos Narrow" panose="02110004020202020204"/>
                </a:rPr>
                <a:t>Category</a:t>
              </a:r>
            </a:p>
          </cx:txPr>
        </cx:title>
        <cx:tickLabels/>
      </cx:axis>
      <cx:axis id="1">
        <cx:valScaling/>
        <cx:title>
          <cx:tx>
            <cx:txData>
              <cx:v>Correlation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Aptos Narrow" panose="02110004020202020204"/>
                </a:rPr>
                <a:t>Correlation</a:t>
              </a:r>
            </a:p>
          </cx:txPr>
        </cx:title>
        <cx:majorGridlines/>
        <cx:tickLabels/>
      </cx:axis>
      <cx:axis id="2">
        <cx:valScaling max="1" min="0"/>
        <cx:units unit="percentage"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8.png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svg"/><Relationship Id="rId1" Type="http://schemas.openxmlformats.org/officeDocument/2006/relationships/image" Target="../media/image4.png"/><Relationship Id="rId4" Type="http://schemas.openxmlformats.org/officeDocument/2006/relationships/image" Target="../media/image7.sv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602972</xdr:colOff>
      <xdr:row>2</xdr:row>
      <xdr:rowOff>21298</xdr:rowOff>
    </xdr:from>
    <xdr:to>
      <xdr:col>9</xdr:col>
      <xdr:colOff>13251</xdr:colOff>
      <xdr:row>32</xdr:row>
      <xdr:rowOff>127805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935FCE-12DA-E600-AC04-70527E98B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2972" y="405611"/>
          <a:ext cx="4896679" cy="73538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197225</xdr:colOff>
      <xdr:row>1</xdr:row>
      <xdr:rowOff>5861</xdr:rowOff>
    </xdr:from>
    <xdr:to>
      <xdr:col>17</xdr:col>
      <xdr:colOff>1</xdr:colOff>
      <xdr:row>20</xdr:row>
      <xdr:rowOff>19878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26DEB7-ECCE-4A5A-94F6-39764F411D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166045</xdr:colOff>
      <xdr:row>0</xdr:row>
      <xdr:rowOff>179294</xdr:rowOff>
    </xdr:from>
    <xdr:to>
      <xdr:col>11</xdr:col>
      <xdr:colOff>1</xdr:colOff>
      <xdr:row>8</xdr:row>
      <xdr:rowOff>174266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26A734-482B-4F04-93D7-1848E8C7A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1725" y="179294"/>
          <a:ext cx="3156276" cy="1465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10</xdr:col>
      <xdr:colOff>38101</xdr:colOff>
      <xdr:row>7</xdr:row>
      <xdr:rowOff>167288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1026F29-6C0E-4669-A403-DF273EBB8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8871" y="98612"/>
          <a:ext cx="5291418" cy="1260982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10</xdr:col>
      <xdr:colOff>80683</xdr:colOff>
      <xdr:row>26</xdr:row>
      <xdr:rowOff>17930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7D80C9-BA21-4186-85A3-FC15613FB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0.50278</cdr:x>
      <cdr:y>0.16852</cdr:y>
    </cdr:from>
    <cdr:to>
      <cdr:x>0.65656</cdr:x>
      <cdr:y>0.24846</cdr:y>
    </cdr:to>
    <cdr:sp macro="" textlink="">
      <cdr:nvSpPr>
        <cdr:cNvPr id="2" name="Left Arrow 4">
          <a:extLst xmlns:a="http://schemas.openxmlformats.org/drawingml/2006/main">
            <a:ext uri="{FF2B5EF4-FFF2-40B4-BE49-F238E27FC236}">
              <a16:creationId xmlns:a16="http://schemas.microsoft.com/office/drawing/2014/main" id="{00000000-0008-0000-0500-000005000000}"/>
            </a:ext>
          </a:extLst>
        </cdr:cNvPr>
        <cdr:cNvSpPr/>
      </cdr:nvSpPr>
      <cdr:spPr>
        <a:xfrm xmlns:a="http://schemas.openxmlformats.org/drawingml/2006/main">
          <a:off x="2298700" y="462280"/>
          <a:ext cx="703090" cy="219300"/>
        </a:xfrm>
        <a:prstGeom xmlns:a="http://schemas.openxmlformats.org/drawingml/2006/main" prst="leftArrow">
          <a:avLst/>
        </a:prstGeom>
        <a:solidFill xmlns:a="http://schemas.openxmlformats.org/drawingml/2006/main">
          <a:schemeClr val="accent5">
            <a:lumMod val="40000"/>
            <a:lumOff val="60000"/>
          </a:schemeClr>
        </a:solidFill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t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130629</xdr:colOff>
      <xdr:row>1</xdr:row>
      <xdr:rowOff>10883</xdr:rowOff>
    </xdr:from>
    <xdr:to>
      <xdr:col>10</xdr:col>
      <xdr:colOff>239486</xdr:colOff>
      <xdr:row>28</xdr:row>
      <xdr:rowOff>21769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D589B6-7DFA-4421-AA02-6621F5F2F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1</xdr:rowOff>
    </xdr:from>
    <xdr:to>
      <xdr:col>6</xdr:col>
      <xdr:colOff>0</xdr:colOff>
      <xdr:row>9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9883BD6-E1F0-1622-4177-4ACBE71E0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514" y="87087"/>
          <a:ext cx="5540829" cy="1480456"/>
        </a:xfrm>
        <a:prstGeom prst="rect">
          <a:avLst/>
        </a:prstGeom>
      </xdr:spPr>
    </xdr:pic>
    <xdr:clientData/>
  </xdr:twoCellAnchor>
  <xdr:twoCellAnchor>
    <xdr:from>
      <xdr:col>10</xdr:col>
      <xdr:colOff>323368</xdr:colOff>
      <xdr:row>1</xdr:row>
      <xdr:rowOff>22412</xdr:rowOff>
    </xdr:from>
    <xdr:to>
      <xdr:col>17</xdr:col>
      <xdr:colOff>188259</xdr:colOff>
      <xdr:row>28</xdr:row>
      <xdr:rowOff>8965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B67CF90-15C5-D330-BF32-BC49428378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0.75152</cdr:x>
      <cdr:y>0.12879</cdr:y>
    </cdr:from>
    <cdr:to>
      <cdr:x>0.82148</cdr:x>
      <cdr:y>0.2373</cdr:y>
    </cdr:to>
    <cdr:pic>
      <cdr:nvPicPr>
        <cdr:cNvPr id="4" name="Graphic 3" descr="Right pointing backhand index with solid fill">
          <a:extLst xmlns:a="http://schemas.openxmlformats.org/drawingml/2006/main">
            <a:ext uri="{FF2B5EF4-FFF2-40B4-BE49-F238E27FC236}">
              <a16:creationId xmlns:a16="http://schemas.microsoft.com/office/drawing/2014/main" id="{FD48851A-ADCF-7BFD-6394-138A74DE95F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288675" y="624864"/>
          <a:ext cx="306149" cy="52647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0.58333</cdr:x>
      <cdr:y>0.61559</cdr:y>
    </cdr:from>
    <cdr:to>
      <cdr:x>0.65329</cdr:x>
      <cdr:y>0.7241</cdr:y>
    </cdr:to>
    <cdr:pic>
      <cdr:nvPicPr>
        <cdr:cNvPr id="2" name="Graphic 1" descr="Right pointing backhand index with solid fill">
          <a:extLst xmlns:a="http://schemas.openxmlformats.org/drawingml/2006/main">
            <a:ext uri="{FF2B5EF4-FFF2-40B4-BE49-F238E27FC236}">
              <a16:creationId xmlns:a16="http://schemas.microsoft.com/office/drawing/2014/main" id="{0A4AA704-5EEF-CF7C-2772-45333218325C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362036" y="2170545"/>
          <a:ext cx="403214" cy="382604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59</xdr:row>
      <xdr:rowOff>0</xdr:rowOff>
    </xdr:from>
    <xdr:to>
      <xdr:col>11</xdr:col>
      <xdr:colOff>13447</xdr:colOff>
      <xdr:row>83</xdr:row>
      <xdr:rowOff>138954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71D35A-2AAD-4E60-85BD-143200F2C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11</xdr:col>
      <xdr:colOff>35857</xdr:colOff>
      <xdr:row>57</xdr:row>
      <xdr:rowOff>161364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005C91D-1986-4A56-A2E2-2E65244C4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1</xdr:row>
      <xdr:rowOff>0</xdr:rowOff>
    </xdr:from>
    <xdr:to>
      <xdr:col>17</xdr:col>
      <xdr:colOff>566121</xdr:colOff>
      <xdr:row>9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8B5ACE8-6B48-415A-ADDD-EB6FF5F5F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46180" y="182880"/>
          <a:ext cx="5699760" cy="1463040"/>
        </a:xfrm>
        <a:prstGeom prst="rect">
          <a:avLst/>
        </a:prstGeom>
      </xdr:spPr>
    </xdr:pic>
    <xdr:clientData/>
  </xdr:twoCellAnchor>
  <xdr:twoCellAnchor>
    <xdr:from>
      <xdr:col>5</xdr:col>
      <xdr:colOff>1461247</xdr:colOff>
      <xdr:row>40</xdr:row>
      <xdr:rowOff>71717</xdr:rowOff>
    </xdr:from>
    <xdr:to>
      <xdr:col>6</xdr:col>
      <xdr:colOff>125506</xdr:colOff>
      <xdr:row>43</xdr:row>
      <xdr:rowOff>152400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1AA498E-162E-89DB-AFE0-39519193EC35}"/>
            </a:ext>
          </a:extLst>
        </xdr:cNvPr>
        <xdr:cNvSpPr/>
      </xdr:nvSpPr>
      <xdr:spPr>
        <a:xfrm>
          <a:off x="5647765" y="7243482"/>
          <a:ext cx="385482" cy="618565"/>
        </a:xfrm>
        <a:prstGeom prst="ellipse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968188</xdr:colOff>
      <xdr:row>33</xdr:row>
      <xdr:rowOff>71717</xdr:rowOff>
    </xdr:from>
    <xdr:to>
      <xdr:col>5</xdr:col>
      <xdr:colOff>1586756</xdr:colOff>
      <xdr:row>40</xdr:row>
      <xdr:rowOff>44826</xdr:rowOff>
    </xdr:to>
    <xdr:cxnSp macro="">
      <xdr:nvCxnSpPr>
        <xdr:cNvPr id="14" name="Connector: Curved 13">
          <a:extLst>
            <a:ext uri="{FF2B5EF4-FFF2-40B4-BE49-F238E27FC236}">
              <a16:creationId xmlns:a16="http://schemas.microsoft.com/office/drawing/2014/main" id="{BE95E56D-688E-49D3-429B-09D2EFDFCF83}"/>
            </a:ext>
          </a:extLst>
        </xdr:cNvPr>
        <xdr:cNvCxnSpPr/>
      </xdr:nvCxnSpPr>
      <xdr:spPr>
        <a:xfrm rot="16200000" flipH="1">
          <a:off x="4849906" y="6293223"/>
          <a:ext cx="1228168" cy="618568"/>
        </a:xfrm>
        <a:prstGeom prst="curvedConnector3">
          <a:avLst/>
        </a:prstGeom>
        <a:ln>
          <a:solidFill>
            <a:srgbClr val="FFFF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502023</xdr:colOff>
      <xdr:row>32</xdr:row>
      <xdr:rowOff>35859</xdr:rowOff>
    </xdr:from>
    <xdr:ext cx="85036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DA1D99D3-6942-7094-F767-5CEEA8B7E7CD}"/>
            </a:ext>
          </a:extLst>
        </xdr:cNvPr>
        <xdr:cNvSpPr txBox="1"/>
      </xdr:nvSpPr>
      <xdr:spPr>
        <a:xfrm>
          <a:off x="4688541" y="5773271"/>
          <a:ext cx="8503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100">
              <a:solidFill>
                <a:srgbClr val="FFFF00"/>
              </a:solidFill>
            </a:rPr>
            <a:t>March</a:t>
          </a:r>
          <a:r>
            <a:rPr lang="en-IN" sz="1100"/>
            <a:t> </a:t>
          </a:r>
          <a:r>
            <a:rPr lang="en-IN" sz="1100">
              <a:solidFill>
                <a:srgbClr val="FFFF00"/>
              </a:solidFill>
            </a:rPr>
            <a:t>2020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601980</xdr:colOff>
      <xdr:row>31</xdr:row>
      <xdr:rowOff>0</xdr:rowOff>
    </xdr:from>
    <xdr:to>
      <xdr:col>13</xdr:col>
      <xdr:colOff>969817</xdr:colOff>
      <xdr:row>58</xdr:row>
      <xdr:rowOff>13855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F4A1377-01E8-0A70-232F-DFC68743A95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71900" y="6217920"/>
              <a:ext cx="9313717" cy="49516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540328</xdr:colOff>
      <xdr:row>31</xdr:row>
      <xdr:rowOff>32656</xdr:rowOff>
    </xdr:from>
    <xdr:to>
      <xdr:col>27</xdr:col>
      <xdr:colOff>506681</xdr:colOff>
      <xdr:row>57</xdr:row>
      <xdr:rowOff>166255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76AF7B-09F7-46CF-8309-4078AE26F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ish" refreshedDate="45782.771178240742" createdVersion="8" refreshedVersion="8" minRefreshableVersion="3" recordCount="372" xr:uid="{7F06FABC-23D9-4097-A460-7C2A93E92197}">
  <cacheSource type="worksheet">
    <worksheetSource name="Table5"/>
  </cacheSource>
  <cacheFields count="12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3">
        <s v="January"/>
        <s v="February"/>
        <s v="March"/>
        <s v="April"/>
        <s v="May"/>
        <s v="June"/>
        <s v="July"/>
        <s v="August"/>
        <s v="September"/>
        <s v="October"/>
        <s v="November "/>
        <s v="November"/>
        <s v="December"/>
      </sharedItems>
    </cacheField>
    <cacheField name="Food &amp; Beverages" numFmtId="0">
      <sharedItems containsSemiMixedTypes="0" containsString="0" containsNumber="1" minValue="1371.6999999999998" maxValue="2335.1"/>
    </cacheField>
    <cacheField name="Energy" numFmtId="2">
      <sharedItems containsSemiMixedTypes="0" containsString="0" containsNumber="1" minValue="105.4" maxValue="183.4"/>
    </cacheField>
    <cacheField name="Transportation" numFmtId="2">
      <sharedItems containsSemiMixedTypes="0" containsString="0" containsNumber="1" minValue="103.2" maxValue="169.7"/>
    </cacheField>
    <cacheField name="Education" numFmtId="2">
      <sharedItems containsSemiMixedTypes="0" containsString="0" containsNumber="1" minValue="103.5" maxValue="180.3"/>
    </cacheField>
    <cacheField name="Health and Personal care" numFmtId="2">
      <sharedItems containsSemiMixedTypes="0" containsString="0" containsNumber="1" minValue="207.8" maxValue="372.70000000000005"/>
    </cacheField>
    <cacheField name="Housing and Household" numFmtId="2">
      <sharedItems containsSemiMixedTypes="0" containsString="0" containsNumber="1" minValue="205.1" maxValue="355.4"/>
    </cacheField>
    <cacheField name="Clothing and Footwear" numFmtId="2">
      <sharedItems containsSemiMixedTypes="0" containsString="0" containsNumber="1" minValue="316.7" maxValue="569.90000000000009"/>
    </cacheField>
    <cacheField name="Recreation and miscellaneous" numFmtId="2">
      <sharedItems containsSemiMixedTypes="0" containsString="0" containsNumber="1" minValue="311.8" maxValue="553.20000000000005"/>
    </cacheField>
    <cacheField name="General index" numFmtId="2">
      <sharedItems containsSemiMixedTypes="0" containsString="0" containsNumber="1" minValue="104" maxValue="1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ish" refreshedDate="45782.771178587966" createdVersion="8" refreshedVersion="8" minRefreshableVersion="3" recordCount="26" xr:uid="{B9260CA0-B86B-4058-9FEE-F3D9CAD89D94}">
  <cacheSource type="worksheet">
    <worksheetSource name="Table3"/>
  </cacheSource>
  <cacheFields count="5">
    <cacheField name="Broader categories" numFmtId="0">
      <sharedItems count="8">
        <s v="Food &amp; Beverages"/>
        <s v="Energy"/>
        <s v="Transportation"/>
        <s v="Education"/>
        <s v="Health and Personal care"/>
        <s v="Housing and Household"/>
        <s v="Clothing and Footwear"/>
        <s v="Recreation and miscellaneous"/>
      </sharedItems>
    </cacheField>
    <cacheField name="Sub-categories" numFmtId="0">
      <sharedItems/>
    </cacheField>
    <cacheField name="Rural" numFmtId="2">
      <sharedItems containsSemiMixedTypes="0" containsString="0" containsNumber="1" minValue="121.9" maxValue="221"/>
    </cacheField>
    <cacheField name="Urban" numFmtId="0">
      <sharedItems containsSemiMixedTypes="0" containsString="0" containsNumber="1" minValue="124.2" maxValue="219.4"/>
    </cacheField>
    <cacheField name="Rural + Urban" numFmtId="0">
      <sharedItems containsSemiMixedTypes="0" containsString="0" containsNumber="1" minValue="122.7" maxValue="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n v="1371.6999999999998"/>
    <n v="105.5"/>
    <n v="103.3"/>
    <n v="103.8"/>
    <n v="208.7"/>
    <n v="205.1"/>
    <n v="318.70000000000005"/>
    <n v="312.5"/>
    <n v="105.1"/>
  </r>
  <r>
    <x v="1"/>
    <x v="0"/>
    <x v="0"/>
    <n v="1376.4"/>
    <n v="105.4"/>
    <n v="103.2"/>
    <n v="103.5"/>
    <n v="208.39999999999998"/>
    <n v="205.1"/>
    <n v="316.7"/>
    <n v="311.8"/>
    <n v="104"/>
  </r>
  <r>
    <x v="2"/>
    <x v="0"/>
    <x v="0"/>
    <n v="1373.3000000000002"/>
    <n v="105.5"/>
    <n v="103.2"/>
    <n v="103.6"/>
    <n v="208.5"/>
    <n v="205.1"/>
    <n v="318"/>
    <n v="312.10000000000002"/>
    <n v="104.6"/>
  </r>
  <r>
    <x v="0"/>
    <x v="0"/>
    <x v="1"/>
    <n v="1380.3999999999999"/>
    <n v="106.2"/>
    <n v="103.9"/>
    <n v="104.1"/>
    <n v="209"/>
    <n v="205.60000000000002"/>
    <n v="320.39999999999998"/>
    <n v="314"/>
    <n v="105.8"/>
  </r>
  <r>
    <x v="1"/>
    <x v="0"/>
    <x v="1"/>
    <n v="1390.6000000000001"/>
    <n v="105.7"/>
    <n v="104.4"/>
    <n v="103.7"/>
    <n v="209"/>
    <n v="205.60000000000002"/>
    <n v="318.5"/>
    <n v="313.60000000000002"/>
    <n v="104.7"/>
  </r>
  <r>
    <x v="2"/>
    <x v="0"/>
    <x v="1"/>
    <n v="1384.2"/>
    <n v="106"/>
    <n v="104.2"/>
    <n v="103.9"/>
    <n v="209"/>
    <n v="205.60000000000002"/>
    <n v="319.7"/>
    <n v="313.7"/>
    <n v="105.3"/>
  </r>
  <r>
    <x v="0"/>
    <x v="0"/>
    <x v="2"/>
    <n v="1382.2"/>
    <n v="106.1"/>
    <n v="104.6"/>
    <n v="104.3"/>
    <n v="209"/>
    <n v="206"/>
    <n v="321.89999999999998"/>
    <n v="315.10000000000002"/>
    <n v="106"/>
  </r>
  <r>
    <x v="1"/>
    <x v="0"/>
    <x v="2"/>
    <n v="1386.8"/>
    <n v="106"/>
    <n v="105.5"/>
    <n v="103.8"/>
    <n v="209.4"/>
    <n v="206.10000000000002"/>
    <n v="320.2"/>
    <n v="315.2"/>
    <n v="105"/>
  </r>
  <r>
    <x v="2"/>
    <x v="0"/>
    <x v="2"/>
    <n v="1384.0000000000002"/>
    <n v="106.1"/>
    <n v="105.1"/>
    <n v="104"/>
    <n v="209.2"/>
    <n v="206"/>
    <n v="321.2"/>
    <n v="315"/>
    <n v="105.5"/>
  </r>
  <r>
    <x v="0"/>
    <x v="0"/>
    <x v="3"/>
    <n v="1385.8"/>
    <n v="106.5"/>
    <n v="104.4"/>
    <n v="104.8"/>
    <n v="207.8"/>
    <n v="206.6"/>
    <n v="323.5"/>
    <n v="316.2"/>
    <n v="106.4"/>
  </r>
  <r>
    <x v="1"/>
    <x v="0"/>
    <x v="3"/>
    <n v="1397.6999999999998"/>
    <n v="106.4"/>
    <n v="105"/>
    <n v="105.2"/>
    <n v="208.9"/>
    <n v="207"/>
    <n v="322"/>
    <n v="317.60000000000002"/>
    <n v="105.7"/>
  </r>
  <r>
    <x v="2"/>
    <x v="0"/>
    <x v="3"/>
    <n v="1390.2"/>
    <n v="106.5"/>
    <n v="104.7"/>
    <n v="105"/>
    <n v="208.2"/>
    <n v="206.8"/>
    <n v="322.89999999999998"/>
    <n v="316.5"/>
    <n v="106.1"/>
  </r>
  <r>
    <x v="0"/>
    <x v="0"/>
    <x v="4"/>
    <n v="1394"/>
    <n v="107.5"/>
    <n v="104.1"/>
    <n v="105.5"/>
    <n v="207.8"/>
    <n v="207.3"/>
    <n v="325.29999999999995"/>
    <n v="317.89999999999998"/>
    <n v="107.2"/>
  </r>
  <r>
    <x v="1"/>
    <x v="0"/>
    <x v="4"/>
    <n v="1417.1999999999998"/>
    <n v="107.2"/>
    <n v="103.9"/>
    <n v="105.7"/>
    <n v="208.8"/>
    <n v="207.6"/>
    <n v="323.5"/>
    <n v="319.3"/>
    <n v="106.6"/>
  </r>
  <r>
    <x v="2"/>
    <x v="0"/>
    <x v="4"/>
    <n v="1402.1999999999998"/>
    <n v="107.4"/>
    <n v="104"/>
    <n v="105.6"/>
    <n v="208.2"/>
    <n v="207.4"/>
    <n v="324.60000000000002"/>
    <n v="318.2"/>
    <n v="106.9"/>
  </r>
  <r>
    <x v="0"/>
    <x v="0"/>
    <x v="5"/>
    <n v="1420"/>
    <n v="108.5"/>
    <n v="105"/>
    <n v="106.5"/>
    <n v="208.8"/>
    <n v="214.1"/>
    <n v="328"/>
    <n v="320.10000000000002"/>
    <n v="108.9"/>
  </r>
  <r>
    <x v="1"/>
    <x v="0"/>
    <x v="5"/>
    <n v="1464.6000000000001"/>
    <n v="108"/>
    <n v="105.2"/>
    <n v="108.1"/>
    <n v="209.8"/>
    <n v="214.3"/>
    <n v="325.3"/>
    <n v="322.20000000000005"/>
    <n v="109.7"/>
  </r>
  <r>
    <x v="2"/>
    <x v="0"/>
    <x v="5"/>
    <n v="1436"/>
    <n v="108.3"/>
    <n v="105.1"/>
    <n v="107.4"/>
    <n v="209.2"/>
    <n v="214.2"/>
    <n v="326.89999999999998"/>
    <n v="320.7"/>
    <n v="109.3"/>
  </r>
  <r>
    <x v="0"/>
    <x v="0"/>
    <x v="6"/>
    <n v="1445.8999999999996"/>
    <n v="109.5"/>
    <n v="106.8"/>
    <n v="107.8"/>
    <n v="209.4"/>
    <n v="216"/>
    <n v="330.3"/>
    <n v="322.7"/>
    <n v="110.7"/>
  </r>
  <r>
    <x v="1"/>
    <x v="0"/>
    <x v="6"/>
    <n v="1489.4"/>
    <n v="108.6"/>
    <n v="107.3"/>
    <n v="110.1"/>
    <n v="210.3"/>
    <n v="215.8"/>
    <n v="327.10000000000002"/>
    <n v="324.89999999999998"/>
    <n v="111.4"/>
  </r>
  <r>
    <x v="2"/>
    <x v="0"/>
    <x v="6"/>
    <n v="1461.3999999999999"/>
    <n v="109.2"/>
    <n v="107.1"/>
    <n v="109.1"/>
    <n v="209.8"/>
    <n v="215.9"/>
    <n v="329"/>
    <n v="323.3"/>
    <n v="111"/>
  </r>
  <r>
    <x v="0"/>
    <x v="0"/>
    <x v="7"/>
    <n v="1462.5"/>
    <n v="109.9"/>
    <n v="107.8"/>
    <n v="108.7"/>
    <n v="212.5"/>
    <n v="217.60000000000002"/>
    <n v="332.6"/>
    <n v="325"/>
    <n v="112.1"/>
  </r>
  <r>
    <x v="1"/>
    <x v="0"/>
    <x v="7"/>
    <n v="1506.1000000000001"/>
    <n v="109.3"/>
    <n v="108.1"/>
    <n v="110.8"/>
    <n v="213.6"/>
    <n v="217.60000000000002"/>
    <n v="329.09999999999997"/>
    <n v="327.20000000000005"/>
    <n v="112.7"/>
  </r>
  <r>
    <x v="2"/>
    <x v="0"/>
    <x v="7"/>
    <n v="1477.4"/>
    <n v="109.7"/>
    <n v="108"/>
    <n v="109.9"/>
    <n v="212.9"/>
    <n v="217.60000000000002"/>
    <n v="331.1"/>
    <n v="325.7"/>
    <n v="112.4"/>
  </r>
  <r>
    <x v="0"/>
    <x v="0"/>
    <x v="8"/>
    <n v="1488.5000000000002"/>
    <n v="111.1"/>
    <n v="109.3"/>
    <n v="109.8"/>
    <n v="215"/>
    <n v="219.3"/>
    <n v="336.6"/>
    <n v="328.1"/>
    <n v="114.2"/>
  </r>
  <r>
    <x v="1"/>
    <x v="0"/>
    <x v="8"/>
    <n v="1500.4"/>
    <n v="109.5"/>
    <n v="110.4"/>
    <n v="111.2"/>
    <n v="214.8"/>
    <n v="219.3"/>
    <n v="331.5"/>
    <n v="329.70000000000005"/>
    <n v="113.2"/>
  </r>
  <r>
    <x v="2"/>
    <x v="0"/>
    <x v="8"/>
    <n v="1491.6999999999998"/>
    <n v="110.5"/>
    <n v="109.9"/>
    <n v="110.6"/>
    <n v="214.89999999999998"/>
    <n v="219.3"/>
    <n v="334.5"/>
    <n v="328.5"/>
    <n v="113.7"/>
  </r>
  <r>
    <x v="0"/>
    <x v="0"/>
    <x v="9"/>
    <n v="1508"/>
    <n v="111.6"/>
    <n v="109.3"/>
    <n v="110.2"/>
    <n v="216.4"/>
    <n v="220.9"/>
    <n v="339.29999999999995"/>
    <n v="329.59999999999997"/>
    <n v="115.5"/>
  </r>
  <r>
    <x v="1"/>
    <x v="0"/>
    <x v="9"/>
    <n v="1517.1999999999998"/>
    <n v="109.7"/>
    <n v="109.7"/>
    <n v="111.3"/>
    <n v="215.5"/>
    <n v="220.7"/>
    <n v="334.2"/>
    <n v="330.9"/>
    <n v="114"/>
  </r>
  <r>
    <x v="2"/>
    <x v="0"/>
    <x v="9"/>
    <n v="1510.2000000000003"/>
    <n v="110.9"/>
    <n v="109.5"/>
    <n v="110.8"/>
    <n v="216"/>
    <n v="220.8"/>
    <n v="337.2"/>
    <n v="329.8"/>
    <n v="114.8"/>
  </r>
  <r>
    <x v="0"/>
    <x v="0"/>
    <x v="10"/>
    <n v="1536.8"/>
    <n v="112.6"/>
    <n v="109.6"/>
    <n v="111"/>
    <n v="217.9"/>
    <n v="222.39999999999998"/>
    <n v="342.1"/>
    <n v="331.3"/>
    <n v="117.4"/>
  </r>
  <r>
    <x v="1"/>
    <x v="0"/>
    <x v="11"/>
    <n v="1544.6"/>
    <n v="110"/>
    <n v="109.5"/>
    <n v="111.3"/>
    <n v="216.5"/>
    <n v="222"/>
    <n v="336.8"/>
    <n v="332.2"/>
    <n v="115"/>
  </r>
  <r>
    <x v="2"/>
    <x v="0"/>
    <x v="11"/>
    <n v="1538.8"/>
    <n v="111.6"/>
    <n v="109.5"/>
    <n v="111.2"/>
    <n v="217.39999999999998"/>
    <n v="222.2"/>
    <n v="339.90000000000003"/>
    <n v="331.4"/>
    <n v="116.3"/>
  </r>
  <r>
    <x v="0"/>
    <x v="0"/>
    <x v="12"/>
    <n v="1509"/>
    <n v="112.8"/>
    <n v="109.9"/>
    <n v="111.6"/>
    <n v="218.2"/>
    <n v="222.8"/>
    <n v="345.3"/>
    <n v="332.9"/>
    <n v="115.5"/>
  </r>
  <r>
    <x v="1"/>
    <x v="0"/>
    <x v="12"/>
    <n v="1504.4"/>
    <n v="110.4"/>
    <n v="109.7"/>
    <n v="111.4"/>
    <n v="216.7"/>
    <n v="222"/>
    <n v="338.8"/>
    <n v="333.7"/>
    <n v="113.3"/>
  </r>
  <r>
    <x v="2"/>
    <x v="0"/>
    <x v="12"/>
    <n v="1507.3000000000002"/>
    <n v="111.9"/>
    <n v="109.8"/>
    <n v="111.5"/>
    <n v="217.60000000000002"/>
    <n v="222.4"/>
    <n v="342.7"/>
    <n v="333"/>
    <n v="114.5"/>
  </r>
  <r>
    <x v="0"/>
    <x v="1"/>
    <x v="0"/>
    <n v="1486.6000000000001"/>
    <n v="113"/>
    <n v="110.5"/>
    <n v="111.8"/>
    <n v="218.89999999999998"/>
    <n v="224.2"/>
    <n v="347.2"/>
    <n v="334.2"/>
    <n v="114.2"/>
  </r>
  <r>
    <x v="1"/>
    <x v="1"/>
    <x v="0"/>
    <n v="1484.3"/>
    <n v="111"/>
    <n v="110.8"/>
    <n v="111.5"/>
    <n v="217.7"/>
    <n v="223.5"/>
    <n v="340.4"/>
    <n v="336"/>
    <n v="112.9"/>
  </r>
  <r>
    <x v="2"/>
    <x v="1"/>
    <x v="0"/>
    <n v="1485.7999999999997"/>
    <n v="112.2"/>
    <n v="110.7"/>
    <n v="111.6"/>
    <n v="218.5"/>
    <n v="223.89999999999998"/>
    <n v="344.4"/>
    <n v="334.8"/>
    <n v="113.6"/>
  </r>
  <r>
    <x v="0"/>
    <x v="1"/>
    <x v="1"/>
    <n v="1482.2"/>
    <n v="113.2"/>
    <n v="110.8"/>
    <n v="112"/>
    <n v="219.60000000000002"/>
    <n v="225.4"/>
    <n v="348.3"/>
    <n v="335"/>
    <n v="114"/>
  </r>
  <r>
    <x v="1"/>
    <x v="1"/>
    <x v="1"/>
    <n v="1476"/>
    <n v="111.1"/>
    <n v="111.3"/>
    <n v="111.6"/>
    <n v="219.10000000000002"/>
    <n v="225.1"/>
    <n v="341.7"/>
    <n v="337.5"/>
    <n v="113.1"/>
  </r>
  <r>
    <x v="2"/>
    <x v="1"/>
    <x v="1"/>
    <n v="1480.1"/>
    <n v="112.4"/>
    <n v="111.1"/>
    <n v="111.8"/>
    <n v="219.4"/>
    <n v="225.3"/>
    <n v="345.6"/>
    <n v="335.7"/>
    <n v="113.6"/>
  </r>
  <r>
    <x v="0"/>
    <x v="1"/>
    <x v="2"/>
    <n v="1491.4"/>
    <n v="113.4"/>
    <n v="111.2"/>
    <n v="112.4"/>
    <n v="220.3"/>
    <n v="226.60000000000002"/>
    <n v="349.6"/>
    <n v="336.1"/>
    <n v="114.6"/>
  </r>
  <r>
    <x v="1"/>
    <x v="1"/>
    <x v="2"/>
    <n v="1483"/>
    <n v="110.9"/>
    <n v="111.6"/>
    <n v="111.8"/>
    <n v="220"/>
    <n v="226.2"/>
    <n v="343.09999999999997"/>
    <n v="339"/>
    <n v="113.7"/>
  </r>
  <r>
    <x v="2"/>
    <x v="1"/>
    <x v="2"/>
    <n v="1488.2999999999997"/>
    <n v="112.5"/>
    <n v="111.4"/>
    <n v="112"/>
    <n v="220.2"/>
    <n v="226.4"/>
    <n v="346.9"/>
    <n v="337.09999999999997"/>
    <n v="114.2"/>
  </r>
  <r>
    <x v="0"/>
    <x v="1"/>
    <x v="3"/>
    <n v="1504.1000000000001"/>
    <n v="113.4"/>
    <n v="111.2"/>
    <n v="113"/>
    <n v="220.7"/>
    <n v="227.60000000000002"/>
    <n v="352"/>
    <n v="337.4"/>
    <n v="115.4"/>
  </r>
  <r>
    <x v="1"/>
    <x v="1"/>
    <x v="3"/>
    <n v="1504.0000000000002"/>
    <n v="110.9"/>
    <n v="111.2"/>
    <n v="112.5"/>
    <n v="220.1"/>
    <n v="227.3"/>
    <n v="344.5"/>
    <n v="340.20000000000005"/>
    <n v="114.7"/>
  </r>
  <r>
    <x v="2"/>
    <x v="1"/>
    <x v="3"/>
    <n v="1504.1"/>
    <n v="112.5"/>
    <n v="111.2"/>
    <n v="112.7"/>
    <n v="220.5"/>
    <n v="227.5"/>
    <n v="349"/>
    <n v="338.4"/>
    <n v="115.1"/>
  </r>
  <r>
    <x v="0"/>
    <x v="1"/>
    <x v="4"/>
    <n v="1513.8999999999999"/>
    <n v="113.4"/>
    <n v="111.4"/>
    <n v="113.1"/>
    <n v="221"/>
    <n v="228.39999999999998"/>
    <n v="354"/>
    <n v="339"/>
    <n v="116"/>
  </r>
  <r>
    <x v="1"/>
    <x v="1"/>
    <x v="4"/>
    <n v="1525.3000000000002"/>
    <n v="111.1"/>
    <n v="111.3"/>
    <n v="112.9"/>
    <n v="220.5"/>
    <n v="228.39999999999998"/>
    <n v="345.9"/>
    <n v="341.5"/>
    <n v="115.6"/>
  </r>
  <r>
    <x v="2"/>
    <x v="1"/>
    <x v="4"/>
    <n v="1518.5000000000005"/>
    <n v="112.5"/>
    <n v="111.3"/>
    <n v="113"/>
    <n v="220.89999999999998"/>
    <n v="228.39999999999998"/>
    <n v="350.79999999999995"/>
    <n v="339.8"/>
    <n v="115.8"/>
  </r>
  <r>
    <x v="0"/>
    <x v="1"/>
    <x v="5"/>
    <n v="1525.6999999999998"/>
    <n v="114.4"/>
    <n v="112.2"/>
    <n v="114.3"/>
    <n v="220.8"/>
    <n v="228.8"/>
    <n v="356.3"/>
    <n v="341"/>
    <n v="117"/>
  </r>
  <r>
    <x v="1"/>
    <x v="1"/>
    <x v="5"/>
    <n v="1547"/>
    <n v="111.2"/>
    <n v="111.5"/>
    <n v="115.1"/>
    <n v="220.10000000000002"/>
    <n v="228.2"/>
    <n v="347.3"/>
    <n v="343"/>
    <n v="116.4"/>
  </r>
  <r>
    <x v="2"/>
    <x v="1"/>
    <x v="5"/>
    <n v="1533.7000000000003"/>
    <n v="113.2"/>
    <n v="111.8"/>
    <n v="114.8"/>
    <n v="220.6"/>
    <n v="228.5"/>
    <n v="352.7"/>
    <n v="341.7"/>
    <n v="116.7"/>
  </r>
  <r>
    <x v="0"/>
    <x v="1"/>
    <x v="6"/>
    <n v="1563.2"/>
    <n v="115.3"/>
    <n v="113.2"/>
    <n v="115.5"/>
    <n v="222.2"/>
    <n v="230.2"/>
    <n v="359.3"/>
    <n v="342.9"/>
    <n v="119.5"/>
  </r>
  <r>
    <x v="1"/>
    <x v="1"/>
    <x v="6"/>
    <n v="1599.5"/>
    <n v="111.6"/>
    <n v="113"/>
    <n v="117.8"/>
    <n v="221.2"/>
    <n v="229.7"/>
    <n v="349"/>
    <n v="346.9"/>
    <n v="118.9"/>
  </r>
  <r>
    <x v="2"/>
    <x v="1"/>
    <x v="6"/>
    <n v="1576.3"/>
    <n v="113.9"/>
    <n v="113.1"/>
    <n v="116.8"/>
    <n v="221.9"/>
    <n v="230"/>
    <n v="355"/>
    <n v="344.2"/>
    <n v="119.2"/>
  </r>
  <r>
    <x v="0"/>
    <x v="1"/>
    <x v="7"/>
    <n v="1582.2999999999997"/>
    <n v="115.4"/>
    <n v="113.2"/>
    <n v="116.2"/>
    <n v="223.4"/>
    <n v="231.4"/>
    <n v="360.4"/>
    <n v="344.5"/>
    <n v="120.7"/>
  </r>
  <r>
    <x v="1"/>
    <x v="1"/>
    <x v="7"/>
    <n v="1617"/>
    <n v="111.8"/>
    <n v="112.5"/>
    <n v="119.2"/>
    <n v="222.7"/>
    <n v="230.8"/>
    <n v="350.6"/>
    <n v="349.8"/>
    <n v="119.9"/>
  </r>
  <r>
    <x v="2"/>
    <x v="1"/>
    <x v="7"/>
    <n v="1594.4999999999998"/>
    <n v="114"/>
    <n v="112.8"/>
    <n v="118"/>
    <n v="223.2"/>
    <n v="231.1"/>
    <n v="356.4"/>
    <n v="346.20000000000005"/>
    <n v="120.3"/>
  </r>
  <r>
    <x v="0"/>
    <x v="1"/>
    <x v="8"/>
    <n v="1583.2"/>
    <n v="115.8"/>
    <n v="112.8"/>
    <n v="116.6"/>
    <n v="223.6"/>
    <n v="232.8"/>
    <n v="362.2"/>
    <n v="345.8"/>
    <n v="120.9"/>
  </r>
  <r>
    <x v="1"/>
    <x v="1"/>
    <x v="8"/>
    <n v="1593.7000000000003"/>
    <n v="111.8"/>
    <n v="111.2"/>
    <n v="120"/>
    <n v="222.3"/>
    <n v="231.6"/>
    <n v="352.1"/>
    <n v="351.3"/>
    <n v="119.2"/>
  </r>
  <r>
    <x v="2"/>
    <x v="1"/>
    <x v="8"/>
    <n v="1586.0999999999997"/>
    <n v="114.3"/>
    <n v="112"/>
    <n v="118.6"/>
    <n v="223.2"/>
    <n v="232.2"/>
    <n v="358"/>
    <n v="347.6"/>
    <n v="120.1"/>
  </r>
  <r>
    <x v="0"/>
    <x v="1"/>
    <x v="9"/>
    <n v="1581.1999999999998"/>
    <n v="116.4"/>
    <n v="112.6"/>
    <n v="116.9"/>
    <n v="224.6"/>
    <n v="234.2"/>
    <n v="365.3"/>
    <n v="347"/>
    <n v="121"/>
  </r>
  <r>
    <x v="1"/>
    <x v="1"/>
    <x v="9"/>
    <n v="1587.5"/>
    <n v="112"/>
    <n v="111"/>
    <n v="120.2"/>
    <n v="222.7"/>
    <n v="232.5"/>
    <n v="353.4"/>
    <n v="351.6"/>
    <n v="119.1"/>
  </r>
  <r>
    <x v="2"/>
    <x v="1"/>
    <x v="9"/>
    <n v="1582.7"/>
    <n v="114.7"/>
    <n v="111.8"/>
    <n v="118.8"/>
    <n v="223.89999999999998"/>
    <n v="233.4"/>
    <n v="360.6"/>
    <n v="348.29999999999995"/>
    <n v="120.1"/>
  </r>
  <r>
    <x v="0"/>
    <x v="1"/>
    <x v="11"/>
    <n v="1582"/>
    <n v="117.3"/>
    <n v="112"/>
    <n v="117.2"/>
    <n v="224.7"/>
    <n v="235.2"/>
    <n v="366.70000000000005"/>
    <n v="348.2"/>
    <n v="121.1"/>
  </r>
  <r>
    <x v="1"/>
    <x v="1"/>
    <x v="11"/>
    <n v="1587.8"/>
    <n v="112.6"/>
    <n v="109.7"/>
    <n v="120.3"/>
    <n v="222.6"/>
    <n v="233.5"/>
    <n v="355.2"/>
    <n v="353.2"/>
    <n v="119"/>
  </r>
  <r>
    <x v="2"/>
    <x v="1"/>
    <x v="11"/>
    <n v="1583.2"/>
    <n v="115.5"/>
    <n v="110.8"/>
    <n v="119"/>
    <n v="223.89999999999998"/>
    <n v="234.39999999999998"/>
    <n v="362.1"/>
    <n v="349.6"/>
    <n v="120.1"/>
  </r>
  <r>
    <x v="0"/>
    <x v="1"/>
    <x v="12"/>
    <n v="1569.6"/>
    <n v="117.4"/>
    <n v="111.5"/>
    <n v="117.7"/>
    <n v="225.60000000000002"/>
    <n v="234.7"/>
    <n v="367.7"/>
    <n v="349.2"/>
    <n v="120.3"/>
  </r>
  <r>
    <x v="1"/>
    <x v="1"/>
    <x v="12"/>
    <n v="1577.1999999999998"/>
    <n v="113"/>
    <n v="108.8"/>
    <n v="120.7"/>
    <n v="223.60000000000002"/>
    <n v="233.3"/>
    <n v="356.5"/>
    <n v="354.1"/>
    <n v="118.4"/>
  </r>
  <r>
    <x v="2"/>
    <x v="1"/>
    <x v="12"/>
    <n v="1571.6999999999998"/>
    <n v="115.7"/>
    <n v="110.1"/>
    <n v="119.5"/>
    <n v="224.89999999999998"/>
    <n v="234"/>
    <n v="363.2"/>
    <n v="350.7"/>
    <n v="119.4"/>
  </r>
  <r>
    <x v="0"/>
    <x v="2"/>
    <x v="0"/>
    <n v="1568.1"/>
    <n v="118.4"/>
    <n v="111"/>
    <n v="118.2"/>
    <n v="226.8"/>
    <n v="236.2"/>
    <n v="370"/>
    <n v="351.2"/>
    <n v="120.3"/>
  </r>
  <r>
    <x v="1"/>
    <x v="2"/>
    <x v="0"/>
    <n v="1574.8999999999999"/>
    <n v="113.4"/>
    <n v="107.9"/>
    <n v="120.8"/>
    <n v="225.10000000000002"/>
    <n v="234.5"/>
    <n v="357.3"/>
    <n v="355.4"/>
    <n v="118.5"/>
  </r>
  <r>
    <x v="2"/>
    <x v="2"/>
    <x v="0"/>
    <n v="1569.3"/>
    <n v="116.5"/>
    <n v="109.4"/>
    <n v="119.7"/>
    <n v="226.2"/>
    <n v="235.39999999999998"/>
    <n v="364.9"/>
    <n v="352.3"/>
    <n v="119.5"/>
  </r>
  <r>
    <x v="0"/>
    <x v="2"/>
    <x v="1"/>
    <n v="1570.5999999999997"/>
    <n v="120"/>
    <n v="110.9"/>
    <n v="118.7"/>
    <n v="228.5"/>
    <n v="237.7"/>
    <n v="373.1"/>
    <n v="354"/>
    <n v="120.6"/>
  </r>
  <r>
    <x v="1"/>
    <x v="2"/>
    <x v="1"/>
    <n v="1571.1000000000001"/>
    <n v="114"/>
    <n v="106.8"/>
    <n v="120.4"/>
    <n v="225.8"/>
    <n v="235.8"/>
    <n v="358.4"/>
    <n v="356.20000000000005"/>
    <n v="118.7"/>
  </r>
  <r>
    <x v="2"/>
    <x v="2"/>
    <x v="1"/>
    <n v="1569.3999999999996"/>
    <n v="117.7"/>
    <n v="108.7"/>
    <n v="119.7"/>
    <n v="227.5"/>
    <n v="236.8"/>
    <n v="367.2"/>
    <n v="354.2"/>
    <n v="119.7"/>
  </r>
  <r>
    <x v="0"/>
    <x v="2"/>
    <x v="2"/>
    <n v="1571.5"/>
    <n v="120.6"/>
    <n v="111.6"/>
    <n v="119.4"/>
    <n v="229"/>
    <n v="238.8"/>
    <n v="374.4"/>
    <n v="355.7"/>
    <n v="121.1"/>
  </r>
  <r>
    <x v="1"/>
    <x v="2"/>
    <x v="2"/>
    <n v="1568.0000000000002"/>
    <n v="114.4"/>
    <n v="108.4"/>
    <n v="120.6"/>
    <n v="225.6"/>
    <n v="236.6"/>
    <n v="359.5"/>
    <n v="358"/>
    <n v="119.1"/>
  </r>
  <r>
    <x v="2"/>
    <x v="2"/>
    <x v="2"/>
    <n v="1569.1"/>
    <n v="118.3"/>
    <n v="109.9"/>
    <n v="120.1"/>
    <n v="227.7"/>
    <n v="237.8"/>
    <n v="368.4"/>
    <n v="355.90000000000003"/>
    <n v="120.2"/>
  </r>
  <r>
    <x v="0"/>
    <x v="2"/>
    <x v="3"/>
    <n v="1577.2"/>
    <n v="121.2"/>
    <n v="111.9"/>
    <n v="119.9"/>
    <n v="230.2"/>
    <n v="240.10000000000002"/>
    <n v="375.7"/>
    <n v="357.9"/>
    <n v="121.5"/>
  </r>
  <r>
    <x v="1"/>
    <x v="2"/>
    <x v="3"/>
    <n v="1576.1"/>
    <n v="114.7"/>
    <n v="108.4"/>
    <n v="121.7"/>
    <n v="226.39999999999998"/>
    <n v="237.60000000000002"/>
    <n v="360.6"/>
    <n v="359.9"/>
    <n v="119.7"/>
  </r>
  <r>
    <x v="2"/>
    <x v="2"/>
    <x v="3"/>
    <n v="1575.7"/>
    <n v="118.7"/>
    <n v="110.1"/>
    <n v="121"/>
    <n v="228.8"/>
    <n v="238.9"/>
    <n v="369.6"/>
    <n v="357.9"/>
    <n v="120.7"/>
  </r>
  <r>
    <x v="0"/>
    <x v="2"/>
    <x v="4"/>
    <n v="1587.7"/>
    <n v="121.9"/>
    <n v="113.3"/>
    <n v="120.5"/>
    <n v="231.7"/>
    <n v="241.1"/>
    <n v="378.2"/>
    <n v="360.3"/>
    <n v="122.4"/>
  </r>
  <r>
    <x v="1"/>
    <x v="2"/>
    <x v="4"/>
    <n v="1598.9"/>
    <n v="114.9"/>
    <n v="110.8"/>
    <n v="122"/>
    <n v="227.3"/>
    <n v="238.3"/>
    <n v="361.4"/>
    <n v="362.5"/>
    <n v="120.7"/>
  </r>
  <r>
    <x v="2"/>
    <x v="2"/>
    <x v="4"/>
    <n v="1590.4"/>
    <n v="119.2"/>
    <n v="112"/>
    <n v="121.4"/>
    <n v="230"/>
    <n v="239.8"/>
    <n v="371.4"/>
    <n v="360.29999999999995"/>
    <n v="121.6"/>
  </r>
  <r>
    <x v="0"/>
    <x v="2"/>
    <x v="5"/>
    <n v="1617.8999999999999"/>
    <n v="122.6"/>
    <n v="114.2"/>
    <n v="122"/>
    <n v="233.4"/>
    <n v="241.8"/>
    <n v="381.5"/>
    <n v="364"/>
    <n v="124.1"/>
  </r>
  <r>
    <x v="1"/>
    <x v="2"/>
    <x v="5"/>
    <n v="1636.6"/>
    <n v="115.1"/>
    <n v="111.7"/>
    <n v="123.8"/>
    <n v="227.9"/>
    <n v="238.2"/>
    <n v="363.1"/>
    <n v="364.29999999999995"/>
    <n v="121.7"/>
  </r>
  <r>
    <x v="2"/>
    <x v="2"/>
    <x v="5"/>
    <n v="1623.5"/>
    <n v="119.8"/>
    <n v="112.9"/>
    <n v="123.1"/>
    <n v="231.3"/>
    <n v="240.1"/>
    <n v="374.1"/>
    <n v="363.1"/>
    <n v="123"/>
  </r>
  <r>
    <x v="0"/>
    <x v="2"/>
    <x v="6"/>
    <n v="1625.3"/>
    <n v="123"/>
    <n v="114.1"/>
    <n v="122.9"/>
    <n v="233.5"/>
    <n v="242.9"/>
    <n v="382.6"/>
    <n v="365.5"/>
    <n v="124.7"/>
  </r>
  <r>
    <x v="1"/>
    <x v="2"/>
    <x v="6"/>
    <n v="1642.8999999999999"/>
    <n v="115.3"/>
    <n v="111.5"/>
    <n v="125.4"/>
    <n v="227.7"/>
    <n v="239.4"/>
    <n v="364.1"/>
    <n v="366"/>
    <n v="122.4"/>
  </r>
  <r>
    <x v="2"/>
    <x v="2"/>
    <x v="6"/>
    <n v="1630.6000000000001"/>
    <n v="120.1"/>
    <n v="112.7"/>
    <n v="124.4"/>
    <n v="231.3"/>
    <n v="241.2"/>
    <n v="375.1"/>
    <n v="364.8"/>
    <n v="123.6"/>
  </r>
  <r>
    <x v="0"/>
    <x v="2"/>
    <x v="7"/>
    <n v="1646.6"/>
    <n v="123.8"/>
    <n v="113.6"/>
    <n v="123.6"/>
    <n v="233.6"/>
    <n v="244.60000000000002"/>
    <n v="384.8"/>
    <n v="366.79999999999995"/>
    <n v="126.1"/>
  </r>
  <r>
    <x v="1"/>
    <x v="2"/>
    <x v="7"/>
    <n v="1658.8999999999999"/>
    <n v="115.3"/>
    <n v="109.9"/>
    <n v="126.2"/>
    <n v="228.6"/>
    <n v="240.9"/>
    <n v="364.8"/>
    <n v="367.6"/>
    <n v="123.2"/>
  </r>
  <r>
    <x v="2"/>
    <x v="2"/>
    <x v="7"/>
    <n v="1649.6"/>
    <n v="120.6"/>
    <n v="111.7"/>
    <n v="125.1"/>
    <n v="231.7"/>
    <n v="242.9"/>
    <n v="376.70000000000005"/>
    <n v="366.2"/>
    <n v="124.8"/>
  </r>
  <r>
    <x v="0"/>
    <x v="2"/>
    <x v="8"/>
    <n v="1657.6000000000001"/>
    <n v="123.7"/>
    <n v="113.8"/>
    <n v="124.5"/>
    <n v="235.10000000000002"/>
    <n v="246.1"/>
    <n v="387.1"/>
    <n v="369.4"/>
    <n v="127"/>
  </r>
  <r>
    <x v="1"/>
    <x v="2"/>
    <x v="8"/>
    <n v="1664.8"/>
    <n v="115.1"/>
    <n v="109.1"/>
    <n v="126.5"/>
    <n v="230"/>
    <n v="242"/>
    <n v="365.8"/>
    <n v="368.2"/>
    <n v="123.5"/>
  </r>
  <r>
    <x v="2"/>
    <x v="2"/>
    <x v="8"/>
    <n v="1658.3000000000002"/>
    <n v="120.4"/>
    <n v="111.3"/>
    <n v="125.7"/>
    <n v="233.2"/>
    <n v="244.2"/>
    <n v="378.5"/>
    <n v="367.8"/>
    <n v="125.4"/>
  </r>
  <r>
    <x v="0"/>
    <x v="2"/>
    <x v="9"/>
    <n v="1674.6"/>
    <n v="124.4"/>
    <n v="113.8"/>
    <n v="125.1"/>
    <n v="236.2"/>
    <n v="247.5"/>
    <n v="389"/>
    <n v="370.8"/>
    <n v="127.7"/>
  </r>
  <r>
    <x v="1"/>
    <x v="2"/>
    <x v="9"/>
    <n v="1692.8000000000002"/>
    <n v="114.9"/>
    <n v="109.3"/>
    <n v="126.5"/>
    <n v="231.2"/>
    <n v="243.10000000000002"/>
    <n v="366.79999999999995"/>
    <n v="369.5"/>
    <n v="124.2"/>
  </r>
  <r>
    <x v="2"/>
    <x v="2"/>
    <x v="9"/>
    <n v="1678.9999999999998"/>
    <n v="120.8"/>
    <n v="111.4"/>
    <n v="125.9"/>
    <n v="234.3"/>
    <n v="245.4"/>
    <n v="380.1"/>
    <n v="369.1"/>
    <n v="126.1"/>
  </r>
  <r>
    <x v="0"/>
    <x v="2"/>
    <x v="11"/>
    <n v="1686.3"/>
    <n v="125.6"/>
    <n v="114"/>
    <n v="125.8"/>
    <n v="236.8"/>
    <n v="248.5"/>
    <n v="391.79999999999995"/>
    <n v="372.7"/>
    <n v="128.30000000000001"/>
  </r>
  <r>
    <x v="1"/>
    <x v="2"/>
    <x v="11"/>
    <n v="1708.4999999999998"/>
    <n v="115.1"/>
    <n v="109.3"/>
    <n v="126.6"/>
    <n v="231.39999999999998"/>
    <n v="243.9"/>
    <n v="368.5"/>
    <n v="372.1"/>
    <n v="124.6"/>
  </r>
  <r>
    <x v="2"/>
    <x v="2"/>
    <x v="11"/>
    <n v="1692.1"/>
    <n v="121.6"/>
    <n v="111.5"/>
    <n v="126.3"/>
    <n v="234.7"/>
    <n v="246.3"/>
    <n v="382.4"/>
    <n v="370.9"/>
    <n v="126.6"/>
  </r>
  <r>
    <x v="0"/>
    <x v="2"/>
    <x v="12"/>
    <n v="1682.3000000000002"/>
    <n v="125.7"/>
    <n v="114"/>
    <n v="125.6"/>
    <n v="237.2"/>
    <n v="248.4"/>
    <n v="392.9"/>
    <n v="374.5"/>
    <n v="127.9"/>
  </r>
  <r>
    <x v="1"/>
    <x v="2"/>
    <x v="12"/>
    <n v="1698.8"/>
    <n v="116"/>
    <n v="109.3"/>
    <n v="126.6"/>
    <n v="231.8"/>
    <n v="243.4"/>
    <n v="369.4"/>
    <n v="373"/>
    <n v="124"/>
  </r>
  <r>
    <x v="2"/>
    <x v="2"/>
    <x v="12"/>
    <n v="1686.1000000000001"/>
    <n v="122"/>
    <n v="111.5"/>
    <n v="126.2"/>
    <n v="235.10000000000002"/>
    <n v="246"/>
    <n v="383.5"/>
    <n v="372.4"/>
    <n v="126.1"/>
  </r>
  <r>
    <x v="0"/>
    <x v="3"/>
    <x v="0"/>
    <n v="1690.1000000000001"/>
    <n v="126.2"/>
    <n v="113.6"/>
    <n v="126.2"/>
    <n v="238.60000000000002"/>
    <n v="250"/>
    <n v="394.70000000000005"/>
    <n v="375.1"/>
    <n v="128.1"/>
  </r>
  <r>
    <x v="1"/>
    <x v="3"/>
    <x v="0"/>
    <n v="1701.4"/>
    <n v="116.9"/>
    <n v="108.9"/>
    <n v="126.4"/>
    <n v="233.1"/>
    <n v="245"/>
    <n v="370.5"/>
    <n v="374.8"/>
    <n v="124.2"/>
  </r>
  <r>
    <x v="2"/>
    <x v="3"/>
    <x v="0"/>
    <n v="1691.7"/>
    <n v="122.7"/>
    <n v="111.1"/>
    <n v="126.3"/>
    <n v="236.5"/>
    <n v="247.60000000000002"/>
    <n v="384.9"/>
    <n v="373.5"/>
    <n v="126.3"/>
  </r>
  <r>
    <x v="0"/>
    <x v="3"/>
    <x v="1"/>
    <n v="1682.6"/>
    <n v="127.5"/>
    <n v="113.9"/>
    <n v="127.1"/>
    <n v="241.1"/>
    <n v="251.5"/>
    <n v="397.1"/>
    <n v="377.6"/>
    <n v="127.9"/>
  </r>
  <r>
    <x v="1"/>
    <x v="3"/>
    <x v="1"/>
    <n v="1676.1"/>
    <n v="116"/>
    <n v="109.1"/>
    <n v="126.3"/>
    <n v="235.7"/>
    <n v="246.2"/>
    <n v="371.6"/>
    <n v="376"/>
    <n v="123.8"/>
  </r>
  <r>
    <x v="2"/>
    <x v="3"/>
    <x v="1"/>
    <n v="1678.1"/>
    <n v="123.1"/>
    <n v="111.4"/>
    <n v="126.6"/>
    <n v="239.1"/>
    <n v="249"/>
    <n v="386.9"/>
    <n v="375.29999999999995"/>
    <n v="126"/>
  </r>
  <r>
    <x v="0"/>
    <x v="3"/>
    <x v="2"/>
    <n v="1682.7000000000003"/>
    <n v="127"/>
    <n v="113.6"/>
    <n v="127.5"/>
    <n v="242.2"/>
    <n v="252.60000000000002"/>
    <n v="398.40000000000003"/>
    <n v="378.6"/>
    <n v="128"/>
  </r>
  <r>
    <x v="1"/>
    <x v="3"/>
    <x v="2"/>
    <n v="1667.6000000000001"/>
    <n v="114.8"/>
    <n v="108.5"/>
    <n v="126.4"/>
    <n v="236.8"/>
    <n v="247.2"/>
    <n v="372.2"/>
    <n v="377"/>
    <n v="123.8"/>
  </r>
  <r>
    <x v="2"/>
    <x v="3"/>
    <x v="2"/>
    <n v="1675.2"/>
    <n v="122.4"/>
    <n v="110.9"/>
    <n v="126.9"/>
    <n v="240.2"/>
    <n v="250"/>
    <n v="387.9"/>
    <n v="376.4"/>
    <n v="126"/>
  </r>
  <r>
    <x v="0"/>
    <x v="3"/>
    <x v="3"/>
    <n v="1701.6000000000004"/>
    <n v="127"/>
    <n v="114.4"/>
    <n v="127.9"/>
    <n v="243.60000000000002"/>
    <n v="253.6"/>
    <n v="400"/>
    <n v="380.4"/>
    <n v="129"/>
  </r>
  <r>
    <x v="1"/>
    <x v="3"/>
    <x v="3"/>
    <n v="1706.3"/>
    <n v="114.6"/>
    <n v="110"/>
    <n v="127.6"/>
    <n v="237.6"/>
    <n v="248.39999999999998"/>
    <n v="373.1"/>
    <n v="379.2"/>
    <n v="125.3"/>
  </r>
  <r>
    <x v="2"/>
    <x v="3"/>
    <x v="3"/>
    <n v="1701.3"/>
    <n v="122.3"/>
    <n v="112.1"/>
    <n v="127.7"/>
    <n v="241.3"/>
    <n v="251.1"/>
    <n v="389.20000000000005"/>
    <n v="378.2"/>
    <n v="127.3"/>
  </r>
  <r>
    <x v="0"/>
    <x v="3"/>
    <x v="4"/>
    <n v="1723.6999999999998"/>
    <n v="127.4"/>
    <n v="115.1"/>
    <n v="129.1"/>
    <n v="245.5"/>
    <n v="254.5"/>
    <n v="401.3"/>
    <n v="382.1"/>
    <n v="130.30000000000001"/>
  </r>
  <r>
    <x v="1"/>
    <x v="3"/>
    <x v="4"/>
    <n v="1746.7999999999997"/>
    <n v="115"/>
    <n v="110.7"/>
    <n v="128"/>
    <n v="238.8"/>
    <n v="249.2"/>
    <n v="374.1"/>
    <n v="380.7"/>
    <n v="126.6"/>
  </r>
  <r>
    <x v="2"/>
    <x v="3"/>
    <x v="4"/>
    <n v="1730.4"/>
    <n v="122.7"/>
    <n v="112.8"/>
    <n v="128.5"/>
    <n v="242.9"/>
    <n v="252"/>
    <n v="390.4"/>
    <n v="379.9"/>
    <n v="128.6"/>
  </r>
  <r>
    <x v="0"/>
    <x v="3"/>
    <x v="5"/>
    <n v="1748.6"/>
    <n v="128"/>
    <n v="116.3"/>
    <n v="130.19999999999999"/>
    <n v="246.10000000000002"/>
    <n v="254.8"/>
    <n v="403.5"/>
    <n v="384.59999999999997"/>
    <n v="131.9"/>
  </r>
  <r>
    <x v="1"/>
    <x v="3"/>
    <x v="5"/>
    <n v="1787.0000000000002"/>
    <n v="115.5"/>
    <n v="112.3"/>
    <n v="129.30000000000001"/>
    <n v="239.39999999999998"/>
    <n v="248.7"/>
    <n v="375.29999999999995"/>
    <n v="382.2"/>
    <n v="128.1"/>
  </r>
  <r>
    <x v="2"/>
    <x v="3"/>
    <x v="5"/>
    <n v="1760.6"/>
    <n v="123.3"/>
    <n v="114.2"/>
    <n v="129.69999999999999"/>
    <n v="243.5"/>
    <n v="251.9"/>
    <n v="392.1"/>
    <n v="381.9"/>
    <n v="130.1"/>
  </r>
  <r>
    <x v="0"/>
    <x v="3"/>
    <x v="6"/>
    <n v="1770.2999999999997"/>
    <n v="128.19999999999999"/>
    <n v="116.4"/>
    <n v="130.80000000000001"/>
    <n v="247.60000000000002"/>
    <n v="256.39999999999998"/>
    <n v="405.9"/>
    <n v="387"/>
    <n v="133"/>
  </r>
  <r>
    <x v="1"/>
    <x v="3"/>
    <x v="6"/>
    <n v="1811.5000000000002"/>
    <n v="115.5"/>
    <n v="111.7"/>
    <n v="130.80000000000001"/>
    <n v="240.9"/>
    <n v="249.9"/>
    <n v="375.9"/>
    <n v="383.1"/>
    <n v="129"/>
  </r>
  <r>
    <x v="2"/>
    <x v="3"/>
    <x v="6"/>
    <n v="1783.5"/>
    <n v="123.4"/>
    <n v="113.9"/>
    <n v="130.80000000000001"/>
    <n v="245"/>
    <n v="253.3"/>
    <n v="393.8"/>
    <n v="383.6"/>
    <n v="131.1"/>
  </r>
  <r>
    <x v="0"/>
    <x v="3"/>
    <x v="7"/>
    <n v="1777.4999999999998"/>
    <n v="129.1"/>
    <n v="116"/>
    <n v="131.9"/>
    <n v="249"/>
    <n v="257.89999999999998"/>
    <n v="407.9"/>
    <n v="388.6"/>
    <n v="133.5"/>
  </r>
  <r>
    <x v="1"/>
    <x v="3"/>
    <x v="7"/>
    <n v="1783.9999999999995"/>
    <n v="114.7"/>
    <n v="110.4"/>
    <n v="131.5"/>
    <n v="242.10000000000002"/>
    <n v="251.2"/>
    <n v="377"/>
    <n v="384.1"/>
    <n v="128.4"/>
  </r>
  <r>
    <x v="2"/>
    <x v="3"/>
    <x v="7"/>
    <n v="1777.9"/>
    <n v="123.6"/>
    <n v="113.1"/>
    <n v="131.69999999999999"/>
    <n v="246.3"/>
    <n v="254.7"/>
    <n v="395.49999999999994"/>
    <n v="385"/>
    <n v="131.1"/>
  </r>
  <r>
    <x v="0"/>
    <x v="3"/>
    <x v="8"/>
    <n v="1770.7"/>
    <n v="129.69999999999999"/>
    <n v="117"/>
    <n v="132.19999999999999"/>
    <n v="250.6"/>
    <n v="259"/>
    <n v="409.8"/>
    <n v="390.5"/>
    <n v="133.4"/>
  </r>
  <r>
    <x v="1"/>
    <x v="3"/>
    <x v="8"/>
    <n v="1756.3999999999996"/>
    <n v="114.8"/>
    <n v="111.8"/>
    <n v="131.6"/>
    <n v="242.60000000000002"/>
    <n v="252.2"/>
    <n v="378"/>
    <n v="385.20000000000005"/>
    <n v="128"/>
  </r>
  <r>
    <x v="2"/>
    <x v="3"/>
    <x v="8"/>
    <n v="1763.6999999999998"/>
    <n v="124.1"/>
    <n v="114.3"/>
    <n v="131.80000000000001"/>
    <n v="247.5"/>
    <n v="255.8"/>
    <n v="397"/>
    <n v="386.7"/>
    <n v="130.9"/>
  </r>
  <r>
    <x v="0"/>
    <x v="3"/>
    <x v="9"/>
    <n v="1771.8000000000002"/>
    <n v="129.80000000000001"/>
    <n v="117.8"/>
    <n v="133"/>
    <n v="251.7"/>
    <n v="260.5"/>
    <n v="412.7"/>
    <n v="393.1"/>
    <n v="133.80000000000001"/>
  </r>
  <r>
    <x v="1"/>
    <x v="3"/>
    <x v="9"/>
    <n v="1762.8999999999999"/>
    <n v="115.2"/>
    <n v="112.8"/>
    <n v="131.9"/>
    <n v="242.6"/>
    <n v="253.2"/>
    <n v="379"/>
    <n v="386.40000000000003"/>
    <n v="128.6"/>
  </r>
  <r>
    <x v="2"/>
    <x v="3"/>
    <x v="9"/>
    <n v="1766.7999999999995"/>
    <n v="124.3"/>
    <n v="115.2"/>
    <n v="132.4"/>
    <n v="248.2"/>
    <n v="257.10000000000002"/>
    <n v="399.1"/>
    <n v="388.70000000000005"/>
    <n v="131.4"/>
  </r>
  <r>
    <x v="0"/>
    <x v="3"/>
    <x v="11"/>
    <n v="1764.6"/>
    <n v="130.30000000000001"/>
    <n v="118.2"/>
    <n v="133.69999999999999"/>
    <n v="252.6"/>
    <n v="261.2"/>
    <n v="413.59999999999997"/>
    <n v="394.2"/>
    <n v="133.6"/>
  </r>
  <r>
    <x v="1"/>
    <x v="3"/>
    <x v="11"/>
    <n v="1755.2"/>
    <n v="116.2"/>
    <n v="113.4"/>
    <n v="132.1"/>
    <n v="243.39999999999998"/>
    <n v="253.8"/>
    <n v="380.2"/>
    <n v="387.3"/>
    <n v="128.5"/>
  </r>
  <r>
    <x v="2"/>
    <x v="3"/>
    <x v="11"/>
    <n v="1759.8"/>
    <n v="125"/>
    <n v="115.7"/>
    <n v="132.80000000000001"/>
    <n v="249"/>
    <n v="257.7"/>
    <n v="400.1"/>
    <n v="389.8"/>
    <n v="131.19999999999999"/>
  </r>
  <r>
    <x v="0"/>
    <x v="3"/>
    <x v="12"/>
    <n v="1749.1"/>
    <n v="132"/>
    <n v="118.6"/>
    <n v="134.19999999999999"/>
    <n v="251.6"/>
    <n v="261.39999999999998"/>
    <n v="415.3"/>
    <n v="396"/>
    <n v="132.80000000000001"/>
  </r>
  <r>
    <x v="1"/>
    <x v="3"/>
    <x v="12"/>
    <n v="1729.8"/>
    <n v="117.8"/>
    <n v="113.7"/>
    <n v="132.30000000000001"/>
    <n v="242.2"/>
    <n v="253.5"/>
    <n v="381"/>
    <n v="388.2"/>
    <n v="127.6"/>
  </r>
  <r>
    <x v="2"/>
    <x v="3"/>
    <x v="12"/>
    <n v="1740.7"/>
    <n v="126.6"/>
    <n v="116"/>
    <n v="133.1"/>
    <n v="248"/>
    <n v="257.7"/>
    <n v="401.5"/>
    <n v="391.20000000000005"/>
    <n v="130.4"/>
  </r>
  <r>
    <x v="0"/>
    <x v="4"/>
    <x v="0"/>
    <n v="1737.3000000000002"/>
    <n v="132.1"/>
    <n v="119.1"/>
    <n v="134.6"/>
    <n v="252.2"/>
    <n v="262.79999999999995"/>
    <n v="416.5"/>
    <n v="396.7"/>
    <n v="132.4"/>
  </r>
  <r>
    <x v="1"/>
    <x v="4"/>
    <x v="0"/>
    <n v="1713.2"/>
    <n v="118"/>
    <n v="115.2"/>
    <n v="132.4"/>
    <n v="243.5"/>
    <n v="254.7"/>
    <n v="381.5"/>
    <n v="389.7"/>
    <n v="127.8"/>
  </r>
  <r>
    <x v="2"/>
    <x v="4"/>
    <x v="0"/>
    <n v="1727.2999999999995"/>
    <n v="126.8"/>
    <n v="117"/>
    <n v="133.30000000000001"/>
    <n v="248.8"/>
    <n v="259"/>
    <n v="402.4"/>
    <n v="392.40000000000003"/>
    <n v="130.30000000000001"/>
  </r>
  <r>
    <x v="0"/>
    <x v="4"/>
    <x v="1"/>
    <n v="1734.5000000000002"/>
    <n v="133.19999999999999"/>
    <n v="119.5"/>
    <n v="134.9"/>
    <n v="253.3"/>
    <n v="264.10000000000002"/>
    <n v="416.90000000000003"/>
    <n v="398.4"/>
    <n v="132.6"/>
  </r>
  <r>
    <x v="1"/>
    <x v="4"/>
    <x v="1"/>
    <n v="1705.3000000000002"/>
    <n v="119.2"/>
    <n v="115.5"/>
    <n v="132.4"/>
    <n v="244.60000000000002"/>
    <n v="255.8"/>
    <n v="382.3"/>
    <n v="390.90000000000003"/>
    <n v="128.19999999999999"/>
  </r>
  <r>
    <x v="2"/>
    <x v="4"/>
    <x v="1"/>
    <n v="1722.3000000000002"/>
    <n v="127.9"/>
    <n v="117.4"/>
    <n v="133.4"/>
    <n v="250"/>
    <n v="260.2"/>
    <n v="403"/>
    <n v="393.79999999999995"/>
    <n v="130.6"/>
  </r>
  <r>
    <x v="0"/>
    <x v="4"/>
    <x v="2"/>
    <n v="1728.5000000000002"/>
    <n v="134.19999999999999"/>
    <n v="119.8"/>
    <n v="135.19999999999999"/>
    <n v="253.89999999999998"/>
    <n v="265.2"/>
    <n v="418.59999999999997"/>
    <n v="399.9"/>
    <n v="132.80000000000001"/>
  </r>
  <r>
    <x v="1"/>
    <x v="4"/>
    <x v="2"/>
    <n v="1705.6999999999998"/>
    <n v="120.8"/>
    <n v="115.6"/>
    <n v="132.80000000000001"/>
    <n v="244.8"/>
    <n v="256.7"/>
    <n v="383.20000000000005"/>
    <n v="392.5"/>
    <n v="128.69999999999999"/>
  </r>
  <r>
    <x v="2"/>
    <x v="4"/>
    <x v="2"/>
    <n v="1718.9"/>
    <n v="129.1"/>
    <n v="117.6"/>
    <n v="133.80000000000001"/>
    <n v="250.39999999999998"/>
    <n v="261.2"/>
    <n v="404.29999999999995"/>
    <n v="395.2"/>
    <n v="130.9"/>
  </r>
  <r>
    <x v="0"/>
    <x v="4"/>
    <x v="3"/>
    <n v="1726.3"/>
    <n v="135"/>
    <n v="119.2"/>
    <n v="135.69999999999999"/>
    <n v="254.7"/>
    <n v="266"/>
    <n v="420.80000000000007"/>
    <n v="400.20000000000005"/>
    <n v="132.9"/>
  </r>
  <r>
    <x v="1"/>
    <x v="4"/>
    <x v="3"/>
    <n v="1708.1"/>
    <n v="121.4"/>
    <n v="114.3"/>
    <n v="133.6"/>
    <n v="245.60000000000002"/>
    <n v="257.7"/>
    <n v="384.2"/>
    <n v="393.1"/>
    <n v="129.1"/>
  </r>
  <r>
    <x v="2"/>
    <x v="4"/>
    <x v="3"/>
    <n v="1718.4"/>
    <n v="129.80000000000001"/>
    <n v="116.6"/>
    <n v="134.5"/>
    <n v="251.2"/>
    <n v="262.10000000000002"/>
    <n v="406.1"/>
    <n v="395.6"/>
    <n v="131.1"/>
  </r>
  <r>
    <x v="0"/>
    <x v="4"/>
    <x v="4"/>
    <n v="1727.4999999999995"/>
    <n v="135"/>
    <n v="119.4"/>
    <n v="136.30000000000001"/>
    <n v="255.10000000000002"/>
    <n v="267"/>
    <n v="421.6"/>
    <n v="402.8"/>
    <n v="133.30000000000001"/>
  </r>
  <r>
    <x v="1"/>
    <x v="4"/>
    <x v="4"/>
    <n v="1709.6"/>
    <n v="120.1"/>
    <n v="114.3"/>
    <n v="133.80000000000001"/>
    <n v="245.6"/>
    <n v="258.60000000000002"/>
    <n v="384.9"/>
    <n v="393.7"/>
    <n v="129.30000000000001"/>
  </r>
  <r>
    <x v="2"/>
    <x v="4"/>
    <x v="4"/>
    <n v="1719.6000000000001"/>
    <n v="129.4"/>
    <n v="116.7"/>
    <n v="134.80000000000001"/>
    <n v="251.4"/>
    <n v="263"/>
    <n v="406.8"/>
    <n v="397.2"/>
    <n v="131.4"/>
  </r>
  <r>
    <x v="0"/>
    <x v="4"/>
    <x v="5"/>
    <n v="1738.8000000000002"/>
    <n v="134.80000000000001"/>
    <n v="119.4"/>
    <n v="136.9"/>
    <n v="255.4"/>
    <n v="266.60000000000002"/>
    <n v="423.09999999999997"/>
    <n v="403.7"/>
    <n v="133.9"/>
  </r>
  <r>
    <x v="1"/>
    <x v="4"/>
    <x v="5"/>
    <n v="1731.0000000000002"/>
    <n v="119"/>
    <n v="113.9"/>
    <n v="134.30000000000001"/>
    <n v="246.3"/>
    <n v="258.2"/>
    <n v="384.9"/>
    <n v="394.20000000000005"/>
    <n v="129.9"/>
  </r>
  <r>
    <x v="2"/>
    <x v="4"/>
    <x v="5"/>
    <n v="1734.7"/>
    <n v="128.80000000000001"/>
    <n v="116.5"/>
    <n v="135.4"/>
    <n v="251.9"/>
    <n v="262.60000000000002"/>
    <n v="407.7"/>
    <n v="397.9"/>
    <n v="132"/>
  </r>
  <r>
    <x v="0"/>
    <x v="4"/>
    <x v="6"/>
    <n v="1772.9"/>
    <n v="135.30000000000001"/>
    <n v="119.1"/>
    <n v="138.6"/>
    <n v="256.5"/>
    <n v="268.7"/>
    <n v="425.9"/>
    <n v="406.6"/>
    <n v="136.19999999999999"/>
  </r>
  <r>
    <x v="1"/>
    <x v="4"/>
    <x v="6"/>
    <n v="1768.1"/>
    <n v="119.7"/>
    <n v="113.2"/>
    <n v="135.5"/>
    <n v="247.4"/>
    <n v="259.8"/>
    <n v="385.70000000000005"/>
    <n v="397"/>
    <n v="131.80000000000001"/>
  </r>
  <r>
    <x v="2"/>
    <x v="4"/>
    <x v="6"/>
    <n v="1769.3999999999999"/>
    <n v="129.4"/>
    <n v="116"/>
    <n v="136.80000000000001"/>
    <n v="253"/>
    <n v="264.5"/>
    <n v="409.7"/>
    <n v="400.7"/>
    <n v="134.19999999999999"/>
  </r>
  <r>
    <x v="0"/>
    <x v="4"/>
    <x v="7"/>
    <n v="1792.4999999999998"/>
    <n v="136.4"/>
    <n v="120.3"/>
    <n v="140.19999999999999"/>
    <n v="258.39999999999998"/>
    <n v="271.70000000000005"/>
    <n v="429"/>
    <n v="410.2"/>
    <n v="137.80000000000001"/>
  </r>
  <r>
    <x v="1"/>
    <x v="4"/>
    <x v="7"/>
    <n v="1772.9999999999998"/>
    <n v="118.9"/>
    <n v="114.6"/>
    <n v="135.69999999999999"/>
    <n v="249"/>
    <n v="262.10000000000002"/>
    <n v="388.4"/>
    <n v="400"/>
    <n v="132.69999999999999"/>
  </r>
  <r>
    <x v="2"/>
    <x v="4"/>
    <x v="7"/>
    <n v="1783.8"/>
    <n v="129.80000000000001"/>
    <n v="117.3"/>
    <n v="137.6"/>
    <n v="254.7"/>
    <n v="267.20000000000005"/>
    <n v="412.6"/>
    <n v="403.9"/>
    <n v="135.4"/>
  </r>
  <r>
    <x v="0"/>
    <x v="4"/>
    <x v="8"/>
    <n v="1784.3"/>
    <n v="137.4"/>
    <n v="121.2"/>
    <n v="139.6"/>
    <n v="260.10000000000002"/>
    <n v="273.60000000000002"/>
    <n v="430.99999999999994"/>
    <n v="412.40000000000003"/>
    <n v="137.6"/>
  </r>
  <r>
    <x v="1"/>
    <x v="4"/>
    <x v="8"/>
    <n v="1749.7"/>
    <n v="120.6"/>
    <n v="115.7"/>
    <n v="135.9"/>
    <n v="250.5"/>
    <n v="263.79999999999995"/>
    <n v="389.9"/>
    <n v="402.6"/>
    <n v="132.4"/>
  </r>
  <r>
    <x v="2"/>
    <x v="4"/>
    <x v="8"/>
    <n v="1769.9999999999998"/>
    <n v="131"/>
    <n v="118.3"/>
    <n v="137.4"/>
    <n v="256.3"/>
    <n v="269"/>
    <n v="414.5"/>
    <n v="406.20000000000005"/>
    <n v="135.19999999999999"/>
  </r>
  <r>
    <x v="0"/>
    <x v="4"/>
    <x v="9"/>
    <n v="1790.8999999999999"/>
    <n v="138.1"/>
    <n v="121"/>
    <n v="140.1"/>
    <n v="261.60000000000002"/>
    <n v="275.70000000000005"/>
    <n v="433.99999999999994"/>
    <n v="414.2"/>
    <n v="138.30000000000001"/>
  </r>
  <r>
    <x v="1"/>
    <x v="4"/>
    <x v="9"/>
    <n v="1765.6999999999998"/>
    <n v="122.6"/>
    <n v="115"/>
    <n v="136.30000000000001"/>
    <n v="251.2"/>
    <n v="265.60000000000002"/>
    <n v="391.5"/>
    <n v="403.9"/>
    <n v="133.5"/>
  </r>
  <r>
    <x v="2"/>
    <x v="4"/>
    <x v="9"/>
    <n v="1779.6999999999998"/>
    <n v="132.19999999999999"/>
    <n v="117.8"/>
    <n v="137.9"/>
    <n v="257.5"/>
    <n v="270.89999999999998"/>
    <n v="416.90000000000003"/>
    <n v="407.70000000000005"/>
    <n v="136.1"/>
  </r>
  <r>
    <x v="0"/>
    <x v="4"/>
    <x v="11"/>
    <n v="1817.7000000000003"/>
    <n v="141.1"/>
    <n v="121.6"/>
    <n v="141.5"/>
    <n v="263.89999999999998"/>
    <n v="278"/>
    <n v="437"/>
    <n v="417.5"/>
    <n v="140"/>
  </r>
  <r>
    <x v="1"/>
    <x v="4"/>
    <x v="11"/>
    <n v="1796.7"/>
    <n v="125.7"/>
    <n v="115.3"/>
    <n v="136.6"/>
    <n v="252.3"/>
    <n v="267.39999999999998"/>
    <n v="393.9"/>
    <n v="406.2"/>
    <n v="134.80000000000001"/>
  </r>
  <r>
    <x v="2"/>
    <x v="4"/>
    <x v="11"/>
    <n v="1808.2"/>
    <n v="135.30000000000001"/>
    <n v="118.3"/>
    <n v="138.6"/>
    <n v="259.39999999999998"/>
    <n v="273"/>
    <n v="419.6"/>
    <n v="410.5"/>
    <n v="137.6"/>
  </r>
  <r>
    <x v="0"/>
    <x v="4"/>
    <x v="12"/>
    <n v="1813.6000000000001"/>
    <n v="142.6"/>
    <n v="122"/>
    <n v="141.1"/>
    <n v="263.89999999999998"/>
    <n v="278.60000000000002"/>
    <n v="437.09999999999997"/>
    <n v="418.5"/>
    <n v="139.80000000000001"/>
  </r>
  <r>
    <x v="1"/>
    <x v="4"/>
    <x v="12"/>
    <n v="1767.5"/>
    <n v="126.8"/>
    <n v="115.3"/>
    <n v="136.69999999999999"/>
    <n v="252.79999999999998"/>
    <n v="268.39999999999998"/>
    <n v="395.2"/>
    <n v="407.7"/>
    <n v="134.1"/>
  </r>
  <r>
    <x v="2"/>
    <x v="4"/>
    <x v="12"/>
    <n v="1794.9999999999998"/>
    <n v="136.6"/>
    <n v="118.5"/>
    <n v="138.5"/>
    <n v="259.60000000000002"/>
    <n v="273.79999999999995"/>
    <n v="420.2"/>
    <n v="411.8"/>
    <n v="137.19999999999999"/>
  </r>
  <r>
    <x v="0"/>
    <x v="5"/>
    <x v="0"/>
    <n v="1800.7"/>
    <n v="142.30000000000001"/>
    <n v="122.7"/>
    <n v="141.6"/>
    <n v="264.60000000000002"/>
    <n v="280.20000000000005"/>
    <n v="438.1"/>
    <n v="420.20000000000005"/>
    <n v="139.30000000000001"/>
  </r>
  <r>
    <x v="1"/>
    <x v="5"/>
    <x v="0"/>
    <n v="1748.3000000000002"/>
    <n v="127.3"/>
    <n v="116.3"/>
    <n v="137.1"/>
    <n v="254.5"/>
    <n v="269.89999999999998"/>
    <n v="396.29999999999995"/>
    <n v="409.7"/>
    <n v="134.1"/>
  </r>
  <r>
    <x v="2"/>
    <x v="5"/>
    <x v="0"/>
    <n v="1779.9"/>
    <n v="136.6"/>
    <n v="119.3"/>
    <n v="139"/>
    <n v="260.60000000000002"/>
    <n v="275.3"/>
    <n v="421.3"/>
    <n v="413.49999999999994"/>
    <n v="136.9"/>
  </r>
  <r>
    <x v="0"/>
    <x v="5"/>
    <x v="1"/>
    <n v="1781.5"/>
    <n v="142.4"/>
    <n v="123.3"/>
    <n v="141.5"/>
    <n v="265"/>
    <n v="281.20000000000005"/>
    <n v="438.90000000000003"/>
    <n v="420.1"/>
    <n v="138.5"/>
  </r>
  <r>
    <x v="1"/>
    <x v="5"/>
    <x v="1"/>
    <n v="1727.9"/>
    <n v="127.3"/>
    <n v="117.4"/>
    <n v="137.19999999999999"/>
    <n v="256"/>
    <n v="271.20000000000005"/>
    <n v="397.09999999999997"/>
    <n v="412.3"/>
    <n v="134"/>
  </r>
  <r>
    <x v="2"/>
    <x v="5"/>
    <x v="1"/>
    <n v="1760.3999999999996"/>
    <n v="136.69999999999999"/>
    <n v="120.2"/>
    <n v="139"/>
    <n v="261.5"/>
    <n v="276.5"/>
    <n v="422"/>
    <n v="414.4"/>
    <n v="136.4"/>
  </r>
  <r>
    <x v="0"/>
    <x v="5"/>
    <x v="2"/>
    <n v="1781.9999999999998"/>
    <n v="142.6"/>
    <n v="124.6"/>
    <n v="142.69999999999999"/>
    <n v="266"/>
    <n v="281.89999999999998"/>
    <n v="440.5"/>
    <n v="423.5"/>
    <n v="138.69999999999999"/>
  </r>
  <r>
    <x v="1"/>
    <x v="5"/>
    <x v="2"/>
    <n v="1715.5"/>
    <n v="126.4"/>
    <n v="117.8"/>
    <n v="137.80000000000001"/>
    <n v="257.2"/>
    <n v="272.8"/>
    <n v="398.59999999999997"/>
    <n v="413.59999999999997"/>
    <n v="134"/>
  </r>
  <r>
    <x v="2"/>
    <x v="5"/>
    <x v="2"/>
    <n v="1756"/>
    <n v="136.5"/>
    <n v="121"/>
    <n v="139.80000000000001"/>
    <n v="262.5"/>
    <n v="277.60000000000002"/>
    <n v="423.6"/>
    <n v="417.00000000000006"/>
    <n v="136.5"/>
  </r>
  <r>
    <x v="0"/>
    <x v="5"/>
    <x v="3"/>
    <n v="1780"/>
    <n v="143.80000000000001"/>
    <n v="125.3"/>
    <n v="143.69999999999999"/>
    <n v="268"/>
    <n v="283.8"/>
    <n v="442.5"/>
    <n v="426.29999999999995"/>
    <n v="139.1"/>
  </r>
  <r>
    <x v="1"/>
    <x v="5"/>
    <x v="3"/>
    <n v="1720.0000000000002"/>
    <n v="124.6"/>
    <n v="118.9"/>
    <n v="139.69999999999999"/>
    <n v="258.89999999999998"/>
    <n v="274.70000000000005"/>
    <n v="401.40000000000003"/>
    <n v="415"/>
    <n v="134.80000000000001"/>
  </r>
  <r>
    <x v="2"/>
    <x v="5"/>
    <x v="3"/>
    <n v="1757.1000000000001"/>
    <n v="136.5"/>
    <n v="121.9"/>
    <n v="141.4"/>
    <n v="264.39999999999998"/>
    <n v="279.5"/>
    <n v="426"/>
    <n v="419.5"/>
    <n v="137.1"/>
  </r>
  <r>
    <x v="0"/>
    <x v="5"/>
    <x v="4"/>
    <n v="1782.4"/>
    <n v="144.30000000000001"/>
    <n v="126.4"/>
    <n v="144.4"/>
    <n v="269.60000000000002"/>
    <n v="285"/>
    <n v="444.7"/>
    <n v="428.9"/>
    <n v="139.80000000000001"/>
  </r>
  <r>
    <x v="1"/>
    <x v="5"/>
    <x v="4"/>
    <n v="1722.8999999999999"/>
    <n v="124.7"/>
    <n v="119.8"/>
    <n v="140.4"/>
    <n v="260.10000000000002"/>
    <n v="275.7"/>
    <n v="403.5"/>
    <n v="417.2"/>
    <n v="135.4"/>
  </r>
  <r>
    <x v="2"/>
    <x v="5"/>
    <x v="4"/>
    <n v="1759.8"/>
    <n v="136.9"/>
    <n v="122.9"/>
    <n v="142.1"/>
    <n v="265.89999999999998"/>
    <n v="280.60000000000002"/>
    <n v="428.09999999999997"/>
    <n v="421.79999999999995"/>
    <n v="137.80000000000001"/>
  </r>
  <r>
    <x v="0"/>
    <x v="5"/>
    <x v="5"/>
    <n v="1790.2999999999997"/>
    <n v="145.1"/>
    <n v="127.4"/>
    <n v="145.1"/>
    <n v="269.8"/>
    <n v="284.7"/>
    <n v="446.3"/>
    <n v="430.7"/>
    <n v="140.5"/>
  </r>
  <r>
    <x v="1"/>
    <x v="5"/>
    <x v="5"/>
    <n v="1747.3000000000002"/>
    <n v="126.5"/>
    <n v="120.4"/>
    <n v="141.19999999999999"/>
    <n v="260.79999999999995"/>
    <n v="275.60000000000002"/>
    <n v="405"/>
    <n v="419"/>
    <n v="136.19999999999999"/>
  </r>
  <r>
    <x v="2"/>
    <x v="5"/>
    <x v="5"/>
    <n v="1774.1000000000001"/>
    <n v="138.1"/>
    <n v="123.7"/>
    <n v="142.80000000000001"/>
    <n v="266.29999999999995"/>
    <n v="280.39999999999998"/>
    <n v="429.7"/>
    <n v="423.5"/>
    <n v="138.5"/>
  </r>
  <r>
    <x v="0"/>
    <x v="5"/>
    <x v="6"/>
    <n v="1810.5000000000002"/>
    <n v="146.80000000000001"/>
    <n v="127.5"/>
    <n v="145.80000000000001"/>
    <n v="270.39999999999998"/>
    <n v="286.7"/>
    <n v="447.20000000000005"/>
    <n v="430.5"/>
    <n v="141.80000000000001"/>
  </r>
  <r>
    <x v="1"/>
    <x v="5"/>
    <x v="6"/>
    <n v="1771.1"/>
    <n v="128.1"/>
    <n v="120.1"/>
    <n v="144"/>
    <n v="261.79999999999995"/>
    <n v="277.2"/>
    <n v="406.4"/>
    <n v="420.6"/>
    <n v="137.5"/>
  </r>
  <r>
    <x v="2"/>
    <x v="5"/>
    <x v="6"/>
    <n v="1795.3"/>
    <n v="139.69999999999999"/>
    <n v="123.6"/>
    <n v="144.69999999999999"/>
    <n v="267.10000000000002"/>
    <n v="282.2"/>
    <n v="430.80000000000007"/>
    <n v="423.79999999999995"/>
    <n v="139.80000000000001"/>
  </r>
  <r>
    <x v="0"/>
    <x v="5"/>
    <x v="7"/>
    <n v="1818.8"/>
    <n v="147.69999999999999"/>
    <n v="128.30000000000001"/>
    <n v="146.9"/>
    <n v="270.70000000000005"/>
    <n v="288.39999999999998"/>
    <n v="449.2"/>
    <n v="431.6"/>
    <n v="142.5"/>
  </r>
  <r>
    <x v="1"/>
    <x v="5"/>
    <x v="7"/>
    <n v="1767.6"/>
    <n v="129.80000000000001"/>
    <n v="120.7"/>
    <n v="145.30000000000001"/>
    <n v="263.20000000000005"/>
    <n v="279"/>
    <n v="407.3"/>
    <n v="422.9"/>
    <n v="138"/>
  </r>
  <r>
    <x v="2"/>
    <x v="5"/>
    <x v="7"/>
    <n v="1798.7000000000003"/>
    <n v="140.9"/>
    <n v="124.3"/>
    <n v="146"/>
    <n v="267.79999999999995"/>
    <n v="284"/>
    <n v="432.20000000000005"/>
    <n v="425.4"/>
    <n v="140.4"/>
  </r>
  <r>
    <x v="0"/>
    <x v="5"/>
    <x v="8"/>
    <n v="1799.8000000000002"/>
    <n v="149"/>
    <n v="129.9"/>
    <n v="147.6"/>
    <n v="272"/>
    <n v="289.3"/>
    <n v="449.5"/>
    <n v="435.09999999999997"/>
    <n v="142.1"/>
  </r>
  <r>
    <x v="1"/>
    <x v="5"/>
    <x v="8"/>
    <n v="1748.4"/>
    <n v="131.19999999999999"/>
    <n v="122.5"/>
    <n v="145.19999999999999"/>
    <n v="265"/>
    <n v="280.20000000000005"/>
    <n v="409.20000000000005"/>
    <n v="425.40000000000003"/>
    <n v="138.1"/>
  </r>
  <r>
    <x v="2"/>
    <x v="5"/>
    <x v="8"/>
    <n v="1779.5"/>
    <n v="142.30000000000001"/>
    <n v="126"/>
    <n v="146.19999999999999"/>
    <n v="269.3"/>
    <n v="285"/>
    <n v="433.29999999999995"/>
    <n v="428.4"/>
    <n v="140.19999999999999"/>
  </r>
  <r>
    <x v="0"/>
    <x v="5"/>
    <x v="9"/>
    <n v="1782.2"/>
    <n v="149.69999999999999"/>
    <n v="130.80000000000001"/>
    <n v="148"/>
    <n v="279.20000000000005"/>
    <n v="293.8"/>
    <n v="445"/>
    <n v="439.5"/>
    <n v="142.19999999999999"/>
  </r>
  <r>
    <x v="1"/>
    <x v="5"/>
    <x v="9"/>
    <n v="1754.1"/>
    <n v="133.4"/>
    <n v="123.3"/>
    <n v="145.5"/>
    <n v="266.60000000000002"/>
    <n v="281.70000000000005"/>
    <n v="411"/>
    <n v="427.2"/>
    <n v="138.9"/>
  </r>
  <r>
    <x v="2"/>
    <x v="5"/>
    <x v="9"/>
    <n v="1776.2"/>
    <n v="145.30000000000001"/>
    <n v="125.5"/>
    <n v="147.80000000000001"/>
    <n v="274.10000000000002"/>
    <n v="289.10000000000002"/>
    <n v="434"/>
    <n v="435.4"/>
    <n v="140.80000000000001"/>
  </r>
  <r>
    <x v="0"/>
    <x v="5"/>
    <x v="11"/>
    <n v="1787.4999999999995"/>
    <n v="150.30000000000001"/>
    <n v="130.30000000000001"/>
    <n v="150.19999999999999"/>
    <n v="278.5"/>
    <n v="294.89999999999998"/>
    <n v="448"/>
    <n v="445.1"/>
    <n v="142.4"/>
  </r>
  <r>
    <x v="1"/>
    <x v="5"/>
    <x v="11"/>
    <n v="1757.4999999999998"/>
    <n v="136.69999999999999"/>
    <n v="121.2"/>
    <n v="146.1"/>
    <n v="267.3"/>
    <n v="282.70000000000005"/>
    <n v="413.1"/>
    <n v="427.9"/>
    <n v="139"/>
  </r>
  <r>
    <x v="2"/>
    <x v="5"/>
    <x v="11"/>
    <n v="1775.7000000000003"/>
    <n v="145.1"/>
    <n v="125.5"/>
    <n v="147.80000000000001"/>
    <n v="274.10000000000002"/>
    <n v="289.10000000000002"/>
    <n v="433.8"/>
    <n v="435.4"/>
    <n v="140.80000000000001"/>
  </r>
  <r>
    <x v="0"/>
    <x v="5"/>
    <x v="12"/>
    <n v="1773.1000000000001"/>
    <n v="149"/>
    <n v="128.9"/>
    <n v="155.1"/>
    <n v="282.79999999999995"/>
    <n v="296"/>
    <n v="448.3"/>
    <n v="447.29999999999995"/>
    <n v="141.9"/>
  </r>
  <r>
    <x v="1"/>
    <x v="5"/>
    <x v="12"/>
    <n v="1746.6"/>
    <n v="132.4"/>
    <n v="118.8"/>
    <n v="146.5"/>
    <n v="268.10000000000002"/>
    <n v="282.7"/>
    <n v="413.8"/>
    <n v="428"/>
    <n v="138"/>
  </r>
  <r>
    <x v="2"/>
    <x v="5"/>
    <x v="12"/>
    <n v="1762.7999999999997"/>
    <n v="142.69999999999999"/>
    <n v="123.6"/>
    <n v="150.1"/>
    <n v="277.10000000000002"/>
    <n v="289.7"/>
    <n v="434.3"/>
    <n v="436.6"/>
    <n v="140.1"/>
  </r>
  <r>
    <x v="0"/>
    <x v="6"/>
    <x v="0"/>
    <n v="1759.6000000000001"/>
    <n v="146.19999999999999"/>
    <n v="128.6"/>
    <n v="155.19999999999999"/>
    <n v="283.10000000000002"/>
    <n v="297.79999999999995"/>
    <n v="445.6"/>
    <n v="447.3"/>
    <n v="141"/>
  </r>
  <r>
    <x v="1"/>
    <x v="6"/>
    <x v="0"/>
    <n v="1744.3000000000002"/>
    <n v="128.6"/>
    <n v="118.6"/>
    <n v="146.6"/>
    <n v="269.5"/>
    <n v="284"/>
    <n v="414.5"/>
    <n v="428.40000000000003"/>
    <n v="138"/>
  </r>
  <r>
    <x v="2"/>
    <x v="6"/>
    <x v="0"/>
    <n v="1753.3999999999999"/>
    <n v="139.5"/>
    <n v="123.3"/>
    <n v="150.19999999999999"/>
    <n v="277.89999999999998"/>
    <n v="291.29999999999995"/>
    <n v="433"/>
    <n v="436.8"/>
    <n v="139.6"/>
  </r>
  <r>
    <x v="0"/>
    <x v="6"/>
    <x v="1"/>
    <n v="1759.8000000000002"/>
    <n v="145.30000000000001"/>
    <n v="129.19999999999999"/>
    <n v="155.5"/>
    <n v="284.8"/>
    <n v="298.60000000000002"/>
    <n v="446.5"/>
    <n v="448.40000000000003"/>
    <n v="141"/>
  </r>
  <r>
    <x v="1"/>
    <x v="6"/>
    <x v="1"/>
    <n v="1754.4"/>
    <n v="127.1"/>
    <n v="119.2"/>
    <n v="146.6"/>
    <n v="271.5"/>
    <n v="285.10000000000002"/>
    <n v="415.5"/>
    <n v="429.5"/>
    <n v="138.6"/>
  </r>
  <r>
    <x v="2"/>
    <x v="6"/>
    <x v="1"/>
    <n v="1757.1"/>
    <n v="138.4"/>
    <n v="123.9"/>
    <n v="150.30000000000001"/>
    <n v="279.7"/>
    <n v="292.2"/>
    <n v="433.9"/>
    <n v="437.9"/>
    <n v="139.9"/>
  </r>
  <r>
    <x v="0"/>
    <x v="6"/>
    <x v="2"/>
    <n v="1761.2000000000003"/>
    <n v="146.4"/>
    <n v="129.9"/>
    <n v="155.5"/>
    <n v="284.39999999999998"/>
    <n v="299"/>
    <n v="447"/>
    <n v="449.1"/>
    <n v="141.19999999999999"/>
  </r>
  <r>
    <x v="1"/>
    <x v="6"/>
    <x v="2"/>
    <n v="1768.4"/>
    <n v="128.80000000000001"/>
    <n v="119.9"/>
    <n v="146.69999999999999"/>
    <n v="271.7"/>
    <n v="285.8"/>
    <n v="416.29999999999995"/>
    <n v="431.1"/>
    <n v="139.5"/>
  </r>
  <r>
    <x v="2"/>
    <x v="6"/>
    <x v="2"/>
    <n v="1762.9"/>
    <n v="139.69999999999999"/>
    <n v="124.6"/>
    <n v="150.30000000000001"/>
    <n v="279.60000000000002"/>
    <n v="292.8"/>
    <n v="434.5"/>
    <n v="438.9"/>
    <n v="140.4"/>
  </r>
  <r>
    <x v="0"/>
    <x v="6"/>
    <x v="4"/>
    <n v="1782.1000000000001"/>
    <n v="146.9"/>
    <n v="130.19999999999999"/>
    <n v="156.69999999999999"/>
    <n v="285.20000000000005"/>
    <n v="299.60000000000002"/>
    <n v="448.59999999999997"/>
    <n v="452.1"/>
    <n v="142.4"/>
  </r>
  <r>
    <x v="1"/>
    <x v="6"/>
    <x v="4"/>
    <n v="1811.5000000000002"/>
    <n v="129.4"/>
    <n v="120.1"/>
    <n v="148"/>
    <n v="272.39999999999998"/>
    <n v="287.29999999999995"/>
    <n v="417.9"/>
    <n v="433.5"/>
    <n v="141.5"/>
  </r>
  <r>
    <x v="2"/>
    <x v="6"/>
    <x v="4"/>
    <n v="1791.9000000000003"/>
    <n v="140.30000000000001"/>
    <n v="124.9"/>
    <n v="151.6"/>
    <n v="280.3"/>
    <n v="293.79999999999995"/>
    <n v="436.1"/>
    <n v="441.5"/>
    <n v="142"/>
  </r>
  <r>
    <x v="0"/>
    <x v="6"/>
    <x v="5"/>
    <n v="1804.1999999999998"/>
    <n v="147.80000000000001"/>
    <n v="130.19999999999999"/>
    <n v="157.69999999999999"/>
    <n v="286.5"/>
    <n v="299"/>
    <n v="448.59999999999997"/>
    <n v="453.90000000000003"/>
    <n v="143.6"/>
  </r>
  <r>
    <x v="1"/>
    <x v="6"/>
    <x v="5"/>
    <n v="1833.2999999999997"/>
    <n v="130.5"/>
    <n v="119.6"/>
    <n v="148.9"/>
    <n v="274"/>
    <n v="286.8"/>
    <n v="418.4"/>
    <n v="434.59999999999997"/>
    <n v="142.1"/>
  </r>
  <r>
    <x v="2"/>
    <x v="6"/>
    <x v="5"/>
    <n v="1814.1000000000001"/>
    <n v="141.19999999999999"/>
    <n v="124.6"/>
    <n v="152.5"/>
    <n v="281.70000000000005"/>
    <n v="293.20000000000005"/>
    <n v="436.4"/>
    <n v="443.1"/>
    <n v="142.9"/>
  </r>
  <r>
    <x v="0"/>
    <x v="6"/>
    <x v="6"/>
    <n v="1826.8999999999999"/>
    <n v="146.80000000000001"/>
    <n v="131.19999999999999"/>
    <n v="159.1"/>
    <n v="288.29999999999995"/>
    <n v="300.60000000000002"/>
    <n v="449.1"/>
    <n v="456.2"/>
    <n v="144.9"/>
  </r>
  <r>
    <x v="1"/>
    <x v="6"/>
    <x v="6"/>
    <n v="1857.3999999999999"/>
    <n v="127"/>
    <n v="120.6"/>
    <n v="150.4"/>
    <n v="275.89999999999998"/>
    <n v="288.29999999999995"/>
    <n v="419.3"/>
    <n v="436.7"/>
    <n v="143.30000000000001"/>
  </r>
  <r>
    <x v="2"/>
    <x v="6"/>
    <x v="6"/>
    <n v="1837.5"/>
    <n v="139.30000000000001"/>
    <n v="125.6"/>
    <n v="154"/>
    <n v="283.60000000000002"/>
    <n v="294.79999999999995"/>
    <n v="437"/>
    <n v="445.2"/>
    <n v="144.19999999999999"/>
  </r>
  <r>
    <x v="0"/>
    <x v="6"/>
    <x v="7"/>
    <n v="1834.5000000000002"/>
    <n v="146.4"/>
    <n v="131.4"/>
    <n v="159.69999999999999"/>
    <n v="291.5"/>
    <n v="301.79999999999995"/>
    <n v="449.5"/>
    <n v="458"/>
    <n v="145.69999999999999"/>
  </r>
  <r>
    <x v="1"/>
    <x v="6"/>
    <x v="7"/>
    <n v="1869.1"/>
    <n v="125.5"/>
    <n v="120.8"/>
    <n v="151.5"/>
    <n v="279.3"/>
    <n v="289.7"/>
    <n v="420.2"/>
    <n v="438.6"/>
    <n v="144.19999999999999"/>
  </r>
  <r>
    <x v="2"/>
    <x v="6"/>
    <x v="7"/>
    <n v="1846.5"/>
    <n v="138.5"/>
    <n v="125.8"/>
    <n v="154.9"/>
    <n v="286.89999999999998"/>
    <n v="296.10000000000002"/>
    <n v="437.6"/>
    <n v="446.90000000000003"/>
    <n v="145"/>
  </r>
  <r>
    <x v="0"/>
    <x v="6"/>
    <x v="8"/>
    <n v="1848.7"/>
    <n v="146.9"/>
    <n v="131.6"/>
    <n v="160.19999999999999"/>
    <n v="293.60000000000002"/>
    <n v="302.5"/>
    <n v="449.29999999999995"/>
    <n v="459.40000000000003"/>
    <n v="146.69999999999999"/>
  </r>
  <r>
    <x v="1"/>
    <x v="6"/>
    <x v="8"/>
    <n v="1874.9"/>
    <n v="126.6"/>
    <n v="121.2"/>
    <n v="151.6"/>
    <n v="280.89999999999998"/>
    <n v="290.5"/>
    <n v="420.8"/>
    <n v="440.20000000000005"/>
    <n v="144.69999999999999"/>
  </r>
  <r>
    <x v="2"/>
    <x v="6"/>
    <x v="8"/>
    <n v="1857.6999999999998"/>
    <n v="139.19999999999999"/>
    <n v="126.1"/>
    <n v="155.19999999999999"/>
    <n v="288.7"/>
    <n v="296.79999999999995"/>
    <n v="437.69999999999993"/>
    <n v="448.5"/>
    <n v="145.80000000000001"/>
  </r>
  <r>
    <x v="0"/>
    <x v="6"/>
    <x v="9"/>
    <n v="1876.8999999999996"/>
    <n v="147.69999999999999"/>
    <n v="131.69999999999999"/>
    <n v="160.69999999999999"/>
    <n v="294"/>
    <n v="303.60000000000002"/>
    <n v="449.4"/>
    <n v="460.7"/>
    <n v="148.30000000000001"/>
  </r>
  <r>
    <x v="1"/>
    <x v="6"/>
    <x v="9"/>
    <n v="1902.6000000000001"/>
    <n v="128.9"/>
    <n v="121.5"/>
    <n v="151.69999999999999"/>
    <n v="281.89999999999998"/>
    <n v="291.7"/>
    <n v="422.20000000000005"/>
    <n v="441.5"/>
    <n v="146"/>
  </r>
  <r>
    <x v="2"/>
    <x v="6"/>
    <x v="9"/>
    <n v="1885.5999999999997"/>
    <n v="140.6"/>
    <n v="126.3"/>
    <n v="155.4"/>
    <n v="289.39999999999998"/>
    <n v="298"/>
    <n v="438.40000000000003"/>
    <n v="449.79999999999995"/>
    <n v="147.19999999999999"/>
  </r>
  <r>
    <x v="0"/>
    <x v="6"/>
    <x v="11"/>
    <n v="1904.6000000000001"/>
    <n v="148.4"/>
    <n v="132.1"/>
    <n v="160.80000000000001"/>
    <n v="294.89999999999998"/>
    <n v="304.39999999999998"/>
    <n v="450.8"/>
    <n v="462.4"/>
    <n v="149.9"/>
  </r>
  <r>
    <x v="1"/>
    <x v="6"/>
    <x v="11"/>
    <n v="1923.9999999999998"/>
    <n v="132.19999999999999"/>
    <n v="121.7"/>
    <n v="151.80000000000001"/>
    <n v="282.60000000000002"/>
    <n v="292.60000000000002"/>
    <n v="423.09999999999997"/>
    <n v="442.9"/>
    <n v="147"/>
  </r>
  <r>
    <x v="2"/>
    <x v="6"/>
    <x v="11"/>
    <n v="1910.9"/>
    <n v="142.30000000000001"/>
    <n v="126.6"/>
    <n v="155.5"/>
    <n v="290.20000000000005"/>
    <n v="298.8"/>
    <n v="439.5"/>
    <n v="451.29999999999995"/>
    <n v="148.6"/>
  </r>
  <r>
    <x v="0"/>
    <x v="6"/>
    <x v="12"/>
    <n v="1940.9999999999995"/>
    <n v="149.9"/>
    <n v="135"/>
    <n v="161.1"/>
    <n v="295.39999999999998"/>
    <n v="304"/>
    <n v="451.79999999999995"/>
    <n v="464.40000000000003"/>
    <n v="152.30000000000001"/>
  </r>
  <r>
    <x v="1"/>
    <x v="6"/>
    <x v="12"/>
    <n v="1956.7"/>
    <n v="133.6"/>
    <n v="125.2"/>
    <n v="151.9"/>
    <n v="283.39999999999998"/>
    <n v="292.60000000000002"/>
    <n v="424.20000000000005"/>
    <n v="444.9"/>
    <n v="148.30000000000001"/>
  </r>
  <r>
    <x v="2"/>
    <x v="6"/>
    <x v="12"/>
    <n v="1946.1000000000001"/>
    <n v="143.69999999999999"/>
    <n v="129.80000000000001"/>
    <n v="155.69999999999999"/>
    <n v="290.8"/>
    <n v="298.60000000000002"/>
    <n v="440.6"/>
    <n v="453.3"/>
    <n v="150.4"/>
  </r>
  <r>
    <x v="0"/>
    <x v="7"/>
    <x v="0"/>
    <n v="1938.6"/>
    <n v="150.4"/>
    <n v="136.30000000000001"/>
    <n v="161.69999999999999"/>
    <n v="298.2"/>
    <n v="305.60000000000002"/>
    <n v="452.30000000000007"/>
    <n v="466.79999999999995"/>
    <n v="151.9"/>
  </r>
  <r>
    <x v="1"/>
    <x v="7"/>
    <x v="0"/>
    <n v="1945.3999999999999"/>
    <n v="135.1"/>
    <n v="126.1"/>
    <n v="152.1"/>
    <n v="285.89999999999998"/>
    <n v="294"/>
    <n v="425.1"/>
    <n v="446.40000000000003"/>
    <n v="148.19999999999999"/>
  </r>
  <r>
    <x v="2"/>
    <x v="7"/>
    <x v="0"/>
    <n v="1940.3999999999999"/>
    <n v="144.6"/>
    <n v="130.9"/>
    <n v="156.1"/>
    <n v="293.5"/>
    <n v="300.10000000000002"/>
    <n v="441.2"/>
    <n v="455.40000000000003"/>
    <n v="150.19999999999999"/>
  </r>
  <r>
    <x v="0"/>
    <x v="7"/>
    <x v="1"/>
    <n v="1909.7999999999997"/>
    <n v="152.30000000000001"/>
    <n v="136"/>
    <n v="161.9"/>
    <n v="299.60000000000002"/>
    <n v="306.60000000000002"/>
    <n v="452.8"/>
    <n v="468.20000000000005"/>
    <n v="150.4"/>
  </r>
  <r>
    <x v="1"/>
    <x v="7"/>
    <x v="1"/>
    <n v="1916.6"/>
    <n v="138.9"/>
    <n v="125.2"/>
    <n v="152.19999999999999"/>
    <n v="287.89999999999998"/>
    <n v="295.20000000000005"/>
    <n v="426"/>
    <n v="448.1"/>
    <n v="147.69999999999999"/>
  </r>
  <r>
    <x v="2"/>
    <x v="7"/>
    <x v="1"/>
    <n v="1911.6"/>
    <n v="147.19999999999999"/>
    <n v="130.30000000000001"/>
    <n v="156.19999999999999"/>
    <n v="295.10000000000002"/>
    <n v="301.20000000000005"/>
    <n v="442"/>
    <n v="456.9"/>
    <n v="149.1"/>
  </r>
  <r>
    <x v="0"/>
    <x v="7"/>
    <x v="2"/>
    <n v="1894.5999999999997"/>
    <n v="153.4"/>
    <n v="135.80000000000001"/>
    <n v="161.19999999999999"/>
    <n v="301.79999999999995"/>
    <n v="306"/>
    <n v="453.5"/>
    <n v="470.29999999999995"/>
    <n v="149.80000000000001"/>
  </r>
  <r>
    <x v="1"/>
    <x v="7"/>
    <x v="2"/>
    <n v="1898.5"/>
    <n v="141.4"/>
    <n v="124.6"/>
    <n v="152.5"/>
    <n v="290.3"/>
    <n v="295.3"/>
    <n v="427.1"/>
    <n v="449.90000000000003"/>
    <n v="147.30000000000001"/>
  </r>
  <r>
    <x v="2"/>
    <x v="7"/>
    <x v="2"/>
    <n v="1895.4"/>
    <n v="148.9"/>
    <n v="129.9"/>
    <n v="156.1"/>
    <n v="297.5"/>
    <n v="300.89999999999998"/>
    <n v="442.90000000000003"/>
    <n v="458.7"/>
    <n v="148.6"/>
  </r>
  <r>
    <x v="0"/>
    <x v="7"/>
    <x v="3"/>
    <n v="1941.3000000000002"/>
    <n v="148.4"/>
    <n v="129.85"/>
    <n v="156.03749999999999"/>
    <n v="298.08749999999998"/>
    <n v="301.05"/>
    <n v="438.82500000000005"/>
    <n v="456.73749999999995"/>
    <n v="148.91249999999999"/>
  </r>
  <r>
    <x v="1"/>
    <x v="7"/>
    <x v="3"/>
    <n v="1963.257142857143"/>
    <n v="137.1"/>
    <n v="130.3857142857143"/>
    <n v="156.59999999999997"/>
    <n v="288.82857142857142"/>
    <n v="301.81428571428569"/>
    <n v="440.78571428571433"/>
    <n v="458.21428571428567"/>
    <n v="149.01428571428571"/>
  </r>
  <r>
    <x v="2"/>
    <x v="7"/>
    <x v="3"/>
    <n v="1949.35"/>
    <n v="144.1"/>
    <n v="130.29999999999998"/>
    <n v="156.68333333333334"/>
    <n v="295.01666666666665"/>
    <n v="301.81666666666666"/>
    <n v="440.7166666666667"/>
    <n v="458.68333333333339"/>
    <n v="148.81666666666666"/>
  </r>
  <r>
    <x v="0"/>
    <x v="7"/>
    <x v="4"/>
    <n v="1921.3525000000002"/>
    <n v="144.92499999999998"/>
    <n v="129.16"/>
    <n v="155.63999999999999"/>
    <n v="294.48749999999995"/>
    <n v="300.26"/>
    <n v="438.29999999999995"/>
    <n v="456.78000000000003"/>
    <n v="148.5"/>
  </r>
  <r>
    <x v="1"/>
    <x v="7"/>
    <x v="4"/>
    <n v="1922.0357142857142"/>
    <n v="145.78571428571428"/>
    <n v="130.15"/>
    <n v="156.5"/>
    <n v="295.53571428571428"/>
    <n v="301.60000000000002"/>
    <n v="441.375"/>
    <n v="458.95000000000005"/>
    <n v="148.69999999999999"/>
  </r>
  <r>
    <x v="2"/>
    <x v="7"/>
    <x v="4"/>
    <n v="1923.7833333333335"/>
    <n v="145.55000000000001"/>
    <n v="130.1"/>
    <n v="156.6"/>
    <n v="295.83333333333331"/>
    <n v="301.83333333333337"/>
    <n v="441.16666666666669"/>
    <n v="459.63333333333333"/>
    <n v="148.56666666666669"/>
  </r>
  <r>
    <x v="0"/>
    <x v="7"/>
    <x v="5"/>
    <n v="1951"/>
    <n v="144.9"/>
    <n v="141.4"/>
    <n v="161.80000000000001"/>
    <n v="309.39999999999998"/>
    <n v="306.39999999999998"/>
    <n v="458.79999999999995"/>
    <n v="487.29999999999995"/>
    <n v="152.69999999999999"/>
  </r>
  <r>
    <x v="1"/>
    <x v="7"/>
    <x v="5"/>
    <n v="1994.9999999999998"/>
    <n v="137.1"/>
    <n v="129.30000000000001"/>
    <n v="152.5"/>
    <n v="300.29999999999995"/>
    <n v="295.10000000000002"/>
    <n v="432.9"/>
    <n v="473.2"/>
    <n v="150.80000000000001"/>
  </r>
  <r>
    <x v="2"/>
    <x v="7"/>
    <x v="5"/>
    <n v="1966.8000000000002"/>
    <n v="141.9"/>
    <n v="135"/>
    <n v="156.4"/>
    <n v="306"/>
    <n v="301.10000000000002"/>
    <n v="448.29999999999995"/>
    <n v="478.8"/>
    <n v="151.80000000000001"/>
  </r>
  <r>
    <x v="0"/>
    <x v="7"/>
    <x v="6"/>
    <n v="1951"/>
    <n v="144.9"/>
    <n v="141.4"/>
    <n v="161.80000000000001"/>
    <n v="309.39999999999998"/>
    <n v="306.39999999999998"/>
    <n v="458.79999999999995"/>
    <n v="487.29999999999995"/>
    <n v="152.69999999999999"/>
  </r>
  <r>
    <x v="1"/>
    <x v="7"/>
    <x v="6"/>
    <n v="1994.9999999999998"/>
    <n v="137.1"/>
    <n v="129.30000000000001"/>
    <n v="152.5"/>
    <n v="300.29999999999995"/>
    <n v="295.10000000000002"/>
    <n v="432.9"/>
    <n v="473.2"/>
    <n v="150.80000000000001"/>
  </r>
  <r>
    <x v="2"/>
    <x v="7"/>
    <x v="6"/>
    <n v="1966.8000000000002"/>
    <n v="141.9"/>
    <n v="135"/>
    <n v="156.4"/>
    <n v="306"/>
    <n v="301.10000000000002"/>
    <n v="448.29999999999995"/>
    <n v="478.8"/>
    <n v="151.80000000000001"/>
  </r>
  <r>
    <x v="0"/>
    <x v="7"/>
    <x v="7"/>
    <n v="1978.6"/>
    <n v="145.80000000000001"/>
    <n v="143.6"/>
    <n v="162.69999999999999"/>
    <n v="312.39999999999998"/>
    <n v="307.39999999999998"/>
    <n v="458.7"/>
    <n v="486.1"/>
    <n v="154.69999999999999"/>
  </r>
  <r>
    <x v="1"/>
    <x v="7"/>
    <x v="7"/>
    <n v="2024.8999999999999"/>
    <n v="138.30000000000001"/>
    <n v="133.9"/>
    <n v="155.5"/>
    <n v="303.89999999999998"/>
    <n v="300"/>
    <n v="433"/>
    <n v="473.2"/>
    <n v="152.9"/>
  </r>
  <r>
    <x v="2"/>
    <x v="7"/>
    <x v="7"/>
    <n v="1995.1999999999998"/>
    <n v="143"/>
    <n v="138.5"/>
    <n v="158.5"/>
    <n v="309.3"/>
    <n v="303.89999999999998"/>
    <n v="448.2"/>
    <n v="477.6"/>
    <n v="153.9"/>
  </r>
  <r>
    <x v="0"/>
    <x v="7"/>
    <x v="8"/>
    <n v="1987.3999999999999"/>
    <n v="146.4"/>
    <n v="144.6"/>
    <n v="161.1"/>
    <n v="316.5"/>
    <n v="307.89999999999998"/>
    <n v="459.9"/>
    <n v="489.4"/>
    <n v="155.4"/>
  </r>
  <r>
    <x v="1"/>
    <x v="7"/>
    <x v="8"/>
    <n v="2041.6000000000001"/>
    <n v="137.19999999999999"/>
    <n v="135.1"/>
    <n v="154.9"/>
    <n v="309.8"/>
    <n v="301.70000000000005"/>
    <n v="434.6"/>
    <n v="476.5"/>
    <n v="154"/>
  </r>
  <r>
    <x v="2"/>
    <x v="7"/>
    <x v="8"/>
    <n v="2007"/>
    <n v="142.9"/>
    <n v="139.6"/>
    <n v="157.5"/>
    <n v="314"/>
    <n v="305"/>
    <n v="449.70000000000005"/>
    <n v="481"/>
    <n v="154.69999999999999"/>
  </r>
  <r>
    <x v="0"/>
    <x v="7"/>
    <x v="9"/>
    <n v="2030.9"/>
    <n v="146.80000000000001"/>
    <n v="146.4"/>
    <n v="162.5"/>
    <n v="315.7"/>
    <n v="308.5"/>
    <n v="461.29999999999995"/>
    <n v="489.40000000000003"/>
    <n v="157.5"/>
  </r>
  <r>
    <x v="1"/>
    <x v="7"/>
    <x v="9"/>
    <n v="2080.1999999999998"/>
    <n v="137.1"/>
    <n v="135.4"/>
    <n v="155.69999999999999"/>
    <n v="309.10000000000002"/>
    <n v="301.60000000000002"/>
    <n v="434.90000000000003"/>
    <n v="476.9"/>
    <n v="155.19999999999999"/>
  </r>
  <r>
    <x v="2"/>
    <x v="7"/>
    <x v="9"/>
    <n v="2048.6000000000004"/>
    <n v="143.1"/>
    <n v="140.6"/>
    <n v="158.5"/>
    <n v="313.3"/>
    <n v="305.2"/>
    <n v="450.59999999999997"/>
    <n v="481.2"/>
    <n v="156.4"/>
  </r>
  <r>
    <x v="0"/>
    <x v="7"/>
    <x v="11"/>
    <n v="2082.4"/>
    <n v="147.5"/>
    <n v="146.1"/>
    <n v="161.6"/>
    <n v="316.60000000000002"/>
    <n v="310.8"/>
    <n v="462.8"/>
    <n v="491.5"/>
    <n v="159.80000000000001"/>
  </r>
  <r>
    <x v="1"/>
    <x v="7"/>
    <x v="11"/>
    <n v="2120.6999999999998"/>
    <n v="137.30000000000001"/>
    <n v="135.19999999999999"/>
    <n v="156.4"/>
    <n v="309.89999999999998"/>
    <n v="303.10000000000002"/>
    <n v="436.3"/>
    <n v="479.8"/>
    <n v="156.69999999999999"/>
  </r>
  <r>
    <x v="2"/>
    <x v="7"/>
    <x v="11"/>
    <n v="2095.6"/>
    <n v="143.6"/>
    <n v="140.4"/>
    <n v="158.6"/>
    <n v="314.10000000000002"/>
    <n v="307.2"/>
    <n v="452.00000000000006"/>
    <n v="483.90000000000003"/>
    <n v="158.4"/>
  </r>
  <r>
    <x v="0"/>
    <x v="7"/>
    <x v="12"/>
    <n v="2100.5"/>
    <n v="148.69999999999999"/>
    <n v="146.4"/>
    <n v="162.9"/>
    <n v="318.2"/>
    <n v="311.8"/>
    <n v="464.90000000000003"/>
    <n v="492.70000000000005"/>
    <n v="160.69999999999999"/>
  </r>
  <r>
    <x v="1"/>
    <x v="7"/>
    <x v="12"/>
    <n v="2125.4"/>
    <n v="137.9"/>
    <n v="135.5"/>
    <n v="156.9"/>
    <n v="310.8"/>
    <n v="303.89999999999998"/>
    <n v="438.20000000000005"/>
    <n v="481.40000000000003"/>
    <n v="156.9"/>
  </r>
  <r>
    <x v="2"/>
    <x v="7"/>
    <x v="12"/>
    <n v="2109.1"/>
    <n v="144.6"/>
    <n v="140.69999999999999"/>
    <n v="159.4"/>
    <n v="315.39999999999998"/>
    <n v="308.10000000000002"/>
    <n v="454"/>
    <n v="485.1"/>
    <n v="158.9"/>
  </r>
  <r>
    <x v="0"/>
    <x v="8"/>
    <x v="0"/>
    <n v="2065.6999999999998"/>
    <n v="150.9"/>
    <n v="147.5"/>
    <n v="163.5"/>
    <n v="318.7"/>
    <n v="311.60000000000002"/>
    <n v="466.7"/>
    <n v="495.6"/>
    <n v="158.5"/>
  </r>
  <r>
    <x v="1"/>
    <x v="8"/>
    <x v="0"/>
    <n v="2097"/>
    <n v="142.9"/>
    <n v="136.9"/>
    <n v="156.1"/>
    <n v="311.79999999999995"/>
    <n v="303.39999999999998"/>
    <n v="440"/>
    <n v="484.8"/>
    <n v="156"/>
  </r>
  <r>
    <x v="2"/>
    <x v="8"/>
    <x v="0"/>
    <n v="2076.5"/>
    <n v="147.9"/>
    <n v="141.9"/>
    <n v="159.19999999999999"/>
    <n v="316.10000000000002"/>
    <n v="307.7"/>
    <n v="455.8"/>
    <n v="488"/>
    <n v="157.30000000000001"/>
  </r>
  <r>
    <x v="0"/>
    <x v="8"/>
    <x v="1"/>
    <n v="2025.3"/>
    <n v="154.4"/>
    <n v="150.19999999999999"/>
    <n v="163.6"/>
    <n v="319.5"/>
    <n v="314.60000000000002"/>
    <n v="471.4"/>
    <n v="500.7"/>
    <n v="156.69999999999999"/>
  </r>
  <r>
    <x v="1"/>
    <x v="8"/>
    <x v="1"/>
    <n v="2066"/>
    <n v="149.1"/>
    <n v="140.5"/>
    <n v="156.6"/>
    <n v="313"/>
    <n v="306.3"/>
    <n v="444.2"/>
    <n v="489.90000000000003"/>
    <n v="156.5"/>
  </r>
  <r>
    <x v="2"/>
    <x v="8"/>
    <x v="1"/>
    <n v="2039.3000000000002"/>
    <n v="152.4"/>
    <n v="145.1"/>
    <n v="159.5"/>
    <n v="317.10000000000002"/>
    <n v="310.70000000000005"/>
    <n v="460.40000000000003"/>
    <n v="493.2"/>
    <n v="156.6"/>
  </r>
  <r>
    <x v="0"/>
    <x v="8"/>
    <x v="2"/>
    <n v="2025.7"/>
    <n v="156"/>
    <n v="151.30000000000001"/>
    <n v="163.80000000000001"/>
    <n v="317.7"/>
    <n v="314.70000000000005"/>
    <n v="472.9"/>
    <n v="501.20000000000005"/>
    <n v="156.69999999999999"/>
  </r>
  <r>
    <x v="1"/>
    <x v="8"/>
    <x v="2"/>
    <n v="2064.4999999999995"/>
    <n v="154.80000000000001"/>
    <n v="141.69999999999999"/>
    <n v="157.6"/>
    <n v="311.8"/>
    <n v="307.10000000000002"/>
    <n v="446.4"/>
    <n v="492.1"/>
    <n v="156.9"/>
  </r>
  <r>
    <x v="2"/>
    <x v="8"/>
    <x v="2"/>
    <n v="2039.3999999999999"/>
    <n v="155.5"/>
    <n v="146.19999999999999"/>
    <n v="160.19999999999999"/>
    <n v="315.5"/>
    <n v="311.10000000000002"/>
    <n v="462.1"/>
    <n v="494.5"/>
    <n v="156.80000000000001"/>
  </r>
  <r>
    <x v="0"/>
    <x v="8"/>
    <x v="3"/>
    <n v="2049.5"/>
    <n v="156"/>
    <n v="151.69999999999999"/>
    <n v="164.1"/>
    <n v="319.89999999999998"/>
    <n v="316.89999999999998"/>
    <n v="475.69999999999993"/>
    <n v="503.40000000000003"/>
    <n v="157.6"/>
  </r>
  <r>
    <x v="1"/>
    <x v="8"/>
    <x v="3"/>
    <n v="2089.6"/>
    <n v="154.9"/>
    <n v="142.1"/>
    <n v="157.6"/>
    <n v="314.10000000000002"/>
    <n v="309"/>
    <n v="448.6"/>
    <n v="494"/>
    <n v="158"/>
  </r>
  <r>
    <x v="2"/>
    <x v="8"/>
    <x v="3"/>
    <n v="2064.1"/>
    <n v="155.6"/>
    <n v="146.6"/>
    <n v="160.30000000000001"/>
    <n v="317.70000000000005"/>
    <n v="313.20000000000005"/>
    <n v="464.6"/>
    <n v="496.40000000000003"/>
    <n v="157.80000000000001"/>
  </r>
  <r>
    <x v="0"/>
    <x v="8"/>
    <x v="4"/>
    <n v="2095.2999999999997"/>
    <n v="161.69999999999999"/>
    <n v="153.19999999999999"/>
    <n v="167.6"/>
    <n v="328.4"/>
    <n v="320.39999999999998"/>
    <n v="490.4"/>
    <n v="510.70000000000005"/>
    <n v="161.1"/>
  </r>
  <r>
    <x v="1"/>
    <x v="8"/>
    <x v="4"/>
    <n v="2124.7000000000003"/>
    <n v="155.5"/>
    <n v="145"/>
    <n v="156.6"/>
    <n v="317.89999999999998"/>
    <n v="311.7"/>
    <n v="450.79999999999995"/>
    <n v="503.09999999999997"/>
    <n v="159.5"/>
  </r>
  <r>
    <x v="2"/>
    <x v="8"/>
    <x v="4"/>
    <n v="2105.7000000000003"/>
    <n v="159.4"/>
    <n v="148.9"/>
    <n v="161.19999999999999"/>
    <n v="324.39999999999998"/>
    <n v="316.29999999999995"/>
    <n v="474.29999999999995"/>
    <n v="504.5"/>
    <n v="160.4"/>
  </r>
  <r>
    <x v="0"/>
    <x v="8"/>
    <x v="5"/>
    <n v="2122.6"/>
    <n v="162.1"/>
    <n v="154.19999999999999"/>
    <n v="166.8"/>
    <n v="329.1"/>
    <n v="319.7"/>
    <n v="489.80000000000007"/>
    <n v="511"/>
    <n v="162.1"/>
  </r>
  <r>
    <x v="1"/>
    <x v="8"/>
    <x v="5"/>
    <n v="2154.1999999999998"/>
    <n v="156.1"/>
    <n v="147.5"/>
    <n v="158.1"/>
    <n v="318.8"/>
    <n v="310.3"/>
    <n v="452.6"/>
    <n v="499.70000000000005"/>
    <n v="160.4"/>
  </r>
  <r>
    <x v="2"/>
    <x v="8"/>
    <x v="5"/>
    <n v="2133.9"/>
    <n v="159.80000000000001"/>
    <n v="150.69999999999999"/>
    <n v="161.69999999999999"/>
    <n v="325.10000000000002"/>
    <n v="315.3"/>
    <n v="474.7"/>
    <n v="503.3"/>
    <n v="161.30000000000001"/>
  </r>
  <r>
    <x v="0"/>
    <x v="8"/>
    <x v="6"/>
    <n v="2132.4"/>
    <n v="162.5"/>
    <n v="157.1"/>
    <n v="167.2"/>
    <n v="330.8"/>
    <n v="321.8"/>
    <n v="492.40000000000003"/>
    <n v="513.20000000000005"/>
    <n v="163.19999999999999"/>
  </r>
  <r>
    <x v="1"/>
    <x v="8"/>
    <x v="6"/>
    <n v="2171.8000000000002"/>
    <n v="157.69999999999999"/>
    <n v="149.5"/>
    <n v="160.30000000000001"/>
    <n v="321.10000000000002"/>
    <n v="312.2"/>
    <n v="455.3"/>
    <n v="501.7"/>
    <n v="161.80000000000001"/>
  </r>
  <r>
    <x v="2"/>
    <x v="8"/>
    <x v="6"/>
    <n v="2147"/>
    <n v="160.69999999999999"/>
    <n v="153.1"/>
    <n v="163.19999999999999"/>
    <n v="327.10000000000002"/>
    <n v="317.3"/>
    <n v="477.29999999999995"/>
    <n v="505.5"/>
    <n v="162.5"/>
  </r>
  <r>
    <x v="0"/>
    <x v="8"/>
    <x v="7"/>
    <n v="2130.8000000000002"/>
    <n v="163.1"/>
    <n v="157.69999999999999"/>
    <n v="167.5"/>
    <n v="331.4"/>
    <n v="323"/>
    <n v="495.90000000000003"/>
    <n v="514.59999999999991"/>
    <n v="163.6"/>
  </r>
  <r>
    <x v="1"/>
    <x v="8"/>
    <x v="7"/>
    <n v="2157.9"/>
    <n v="160.69999999999999"/>
    <n v="150.4"/>
    <n v="160.4"/>
    <n v="322.39999999999998"/>
    <n v="315.29999999999995"/>
    <n v="460.7"/>
    <n v="506.2"/>
    <n v="162.30000000000001"/>
  </r>
  <r>
    <x v="2"/>
    <x v="8"/>
    <x v="7"/>
    <n v="2142"/>
    <n v="162.6"/>
    <n v="154"/>
    <n v="163.80000000000001"/>
    <n v="328.4"/>
    <n v="319.60000000000002"/>
    <n v="483"/>
    <n v="509.70000000000005"/>
    <n v="163.19999999999999"/>
  </r>
  <r>
    <x v="0"/>
    <x v="8"/>
    <x v="8"/>
    <n v="2133.6"/>
    <n v="163.69999999999999"/>
    <n v="157.80000000000001"/>
    <n v="168.5"/>
    <n v="332.1"/>
    <n v="323.39999999999998"/>
    <n v="498.4"/>
    <n v="517"/>
    <n v="164"/>
  </r>
  <r>
    <x v="1"/>
    <x v="8"/>
    <x v="8"/>
    <n v="2157.9"/>
    <n v="160.80000000000001"/>
    <n v="150.5"/>
    <n v="160.30000000000001"/>
    <n v="322.39999999999998"/>
    <n v="315.39999999999998"/>
    <n v="460.79999999999995"/>
    <n v="506.4"/>
    <n v="162.30000000000001"/>
  </r>
  <r>
    <x v="2"/>
    <x v="8"/>
    <x v="8"/>
    <n v="2142"/>
    <n v="162.6"/>
    <n v="154"/>
    <n v="163.69999999999999"/>
    <n v="328.4"/>
    <n v="319.60000000000002"/>
    <n v="483.2"/>
    <n v="509.79999999999995"/>
    <n v="163.19999999999999"/>
  </r>
  <r>
    <x v="0"/>
    <x v="8"/>
    <x v="9"/>
    <n v="2164.1999999999998"/>
    <n v="165.5"/>
    <n v="159.5"/>
    <n v="169"/>
    <n v="333.6"/>
    <n v="325.60000000000002"/>
    <n v="502.00000000000006"/>
    <n v="519.09999999999991"/>
    <n v="166.3"/>
  </r>
  <r>
    <x v="1"/>
    <x v="8"/>
    <x v="9"/>
    <n v="2198.4000000000005"/>
    <n v="162.19999999999999"/>
    <n v="152.19999999999999"/>
    <n v="160.30000000000001"/>
    <n v="323.8"/>
    <n v="317.89999999999998"/>
    <n v="463.50000000000006"/>
    <n v="509.1"/>
    <n v="164.6"/>
  </r>
  <r>
    <x v="2"/>
    <x v="8"/>
    <x v="9"/>
    <n v="2175.5"/>
    <n v="164.2"/>
    <n v="155.69999999999999"/>
    <n v="163.9"/>
    <n v="329.9"/>
    <n v="322"/>
    <n v="486.3"/>
    <n v="512.29999999999995"/>
    <n v="165.5"/>
  </r>
  <r>
    <x v="0"/>
    <x v="8"/>
    <x v="11"/>
    <n v="2182"/>
    <n v="165.3"/>
    <n v="158.9"/>
    <n v="169.3"/>
    <n v="335.8"/>
    <n v="327.10000000000002"/>
    <n v="506.2"/>
    <n v="520.4"/>
    <n v="167.6"/>
  </r>
  <r>
    <x v="1"/>
    <x v="8"/>
    <x v="11"/>
    <n v="2217.8999999999996"/>
    <n v="161.6"/>
    <n v="151.19999999999999"/>
    <n v="160.80000000000001"/>
    <n v="326"/>
    <n v="319.39999999999998"/>
    <n v="467.3"/>
    <n v="511"/>
    <n v="165.6"/>
  </r>
  <r>
    <x v="2"/>
    <x v="8"/>
    <x v="11"/>
    <n v="2194.1"/>
    <n v="163.9"/>
    <n v="154.80000000000001"/>
    <n v="164.3"/>
    <n v="332.1"/>
    <n v="323.5"/>
    <n v="490.40000000000003"/>
    <n v="514.1"/>
    <n v="166.7"/>
  </r>
  <r>
    <x v="0"/>
    <x v="8"/>
    <x v="12"/>
    <n v="2168.1999999999998"/>
    <n v="165.6"/>
    <n v="160.1"/>
    <n v="169.7"/>
    <n v="336.8"/>
    <n v="327.3"/>
    <n v="510.3"/>
    <n v="521.29999999999995"/>
    <n v="167"/>
  </r>
  <r>
    <x v="1"/>
    <x v="8"/>
    <x v="12"/>
    <n v="2206.3000000000002"/>
    <n v="161.69999999999999"/>
    <n v="151.80000000000001"/>
    <n v="160.6"/>
    <n v="327.5"/>
    <n v="319.39999999999998"/>
    <n v="470.7"/>
    <n v="512.20000000000005"/>
    <n v="165.2"/>
  </r>
  <r>
    <x v="2"/>
    <x v="8"/>
    <x v="12"/>
    <n v="2180.9"/>
    <n v="164.1"/>
    <n v="155.69999999999999"/>
    <n v="164.4"/>
    <n v="333.2"/>
    <n v="323.60000000000002"/>
    <n v="494.2"/>
    <n v="515"/>
    <n v="166.2"/>
  </r>
  <r>
    <x v="0"/>
    <x v="9"/>
    <x v="0"/>
    <n v="2153"/>
    <n v="165.8"/>
    <n v="160.80000000000001"/>
    <n v="169.9"/>
    <n v="337.9"/>
    <n v="329.4"/>
    <n v="515.20000000000005"/>
    <n v="522.20000000000005"/>
    <n v="166.4"/>
  </r>
  <r>
    <x v="1"/>
    <x v="9"/>
    <x v="0"/>
    <n v="2186.6999999999998"/>
    <n v="161.6"/>
    <n v="152.69999999999999"/>
    <n v="161"/>
    <n v="328.9"/>
    <n v="321.3"/>
    <n v="475.4"/>
    <n v="513.4"/>
    <n v="165"/>
  </r>
  <r>
    <x v="2"/>
    <x v="9"/>
    <x v="0"/>
    <n v="2164.1999999999998"/>
    <n v="164.2"/>
    <n v="156.5"/>
    <n v="164.7"/>
    <n v="334.4"/>
    <n v="325.60000000000002"/>
    <n v="499.1"/>
    <n v="516.09999999999991"/>
    <n v="165.7"/>
  </r>
  <r>
    <x v="0"/>
    <x v="9"/>
    <x v="1"/>
    <n v="2150.4"/>
    <n v="167.4"/>
    <n v="161.19999999999999"/>
    <n v="170.3"/>
    <n v="339.8"/>
    <n v="331.2"/>
    <n v="518.79999999999995"/>
    <n v="524.29999999999995"/>
    <n v="166.7"/>
  </r>
  <r>
    <x v="1"/>
    <x v="9"/>
    <x v="1"/>
    <n v="2183.5"/>
    <n v="163"/>
    <n v="153.1"/>
    <n v="162"/>
    <n v="331.4"/>
    <n v="322.89999999999998"/>
    <n v="479.5"/>
    <n v="515.4"/>
    <n v="165.5"/>
  </r>
  <r>
    <x v="2"/>
    <x v="9"/>
    <x v="1"/>
    <n v="2161.2000000000003"/>
    <n v="165.7"/>
    <n v="156.9"/>
    <n v="165.4"/>
    <n v="336.6"/>
    <n v="327.3"/>
    <n v="502.80000000000007"/>
    <n v="518.40000000000009"/>
    <n v="166.1"/>
  </r>
  <r>
    <x v="0"/>
    <x v="9"/>
    <x v="2"/>
    <n v="2179.1000000000004"/>
    <n v="168.9"/>
    <n v="162"/>
    <n v="170.6"/>
    <n v="343.4"/>
    <n v="331.8"/>
    <n v="523.70000000000005"/>
    <n v="527.20000000000005"/>
    <n v="168.7"/>
  </r>
  <r>
    <x v="1"/>
    <x v="9"/>
    <x v="2"/>
    <n v="2196.3000000000002"/>
    <n v="164.5"/>
    <n v="154.19999999999999"/>
    <n v="162.69999999999999"/>
    <n v="335"/>
    <n v="323.89999999999998"/>
    <n v="484.6"/>
    <n v="518.9"/>
    <n v="166.5"/>
  </r>
  <r>
    <x v="2"/>
    <x v="9"/>
    <x v="2"/>
    <n v="2184.2000000000003"/>
    <n v="167.2"/>
    <n v="157.9"/>
    <n v="166"/>
    <n v="340.2"/>
    <n v="328.1"/>
    <n v="507.79999999999995"/>
    <n v="521.59999999999991"/>
    <n v="167.7"/>
  </r>
  <r>
    <x v="0"/>
    <x v="9"/>
    <x v="3"/>
    <n v="2206.6"/>
    <n v="173.3"/>
    <n v="166.2"/>
    <n v="170.9"/>
    <n v="346"/>
    <n v="334.7"/>
    <n v="529.70000000000005"/>
    <n v="530.20000000000005"/>
    <n v="170.8"/>
  </r>
  <r>
    <x v="1"/>
    <x v="9"/>
    <x v="3"/>
    <n v="2230.4"/>
    <n v="170.5"/>
    <n v="159.30000000000001"/>
    <n v="164"/>
    <n v="337.4"/>
    <n v="326.8"/>
    <n v="489.2"/>
    <n v="522.4"/>
    <n v="169.2"/>
  </r>
  <r>
    <x v="2"/>
    <x v="9"/>
    <x v="3"/>
    <n v="2214.3000000000002"/>
    <n v="172.2"/>
    <n v="162.6"/>
    <n v="166.9"/>
    <n v="342.8"/>
    <n v="331"/>
    <n v="513.20000000000005"/>
    <n v="525.1"/>
    <n v="170.1"/>
  </r>
  <r>
    <x v="0"/>
    <x v="9"/>
    <x v="4"/>
    <n v="2226.8000000000002"/>
    <n v="175.3"/>
    <n v="167.1"/>
    <n v="171.8"/>
    <n v="346.2"/>
    <n v="336.4"/>
    <n v="535.5"/>
    <n v="531.4"/>
    <n v="172.5"/>
  </r>
  <r>
    <x v="1"/>
    <x v="9"/>
    <x v="4"/>
    <n v="2262.2000000000003"/>
    <n v="173.5"/>
    <n v="159.4"/>
    <n v="165.2"/>
    <n v="338.29999999999995"/>
    <n v="328.6"/>
    <n v="493.7"/>
    <n v="524.5"/>
    <n v="170.8"/>
  </r>
  <r>
    <x v="2"/>
    <x v="9"/>
    <x v="4"/>
    <n v="2238.9000000000005"/>
    <n v="174.6"/>
    <n v="163"/>
    <n v="167.9"/>
    <n v="343.20000000000005"/>
    <n v="332.7"/>
    <n v="518.6"/>
    <n v="526.70000000000005"/>
    <n v="171.7"/>
  </r>
  <r>
    <x v="0"/>
    <x v="9"/>
    <x v="5"/>
    <n v="2248.3000000000002"/>
    <n v="176.7"/>
    <n v="165.5"/>
    <n v="172.6"/>
    <n v="347.7"/>
    <n v="337.1"/>
    <n v="539.79999999999995"/>
    <n v="531.9"/>
    <n v="173.6"/>
  </r>
  <r>
    <x v="1"/>
    <x v="9"/>
    <x v="5"/>
    <n v="2287.5"/>
    <n v="174.9"/>
    <n v="157.19999999999999"/>
    <n v="166.5"/>
    <n v="340.1"/>
    <n v="328.9"/>
    <n v="498.4"/>
    <n v="526.20000000000005"/>
    <n v="171.4"/>
  </r>
  <r>
    <x v="2"/>
    <x v="9"/>
    <x v="5"/>
    <n v="2261.9"/>
    <n v="176"/>
    <n v="161.1"/>
    <n v="169"/>
    <n v="344.8"/>
    <n v="333.20000000000005"/>
    <n v="523"/>
    <n v="527.6"/>
    <n v="172.6"/>
  </r>
  <r>
    <x v="0"/>
    <x v="9"/>
    <x v="6"/>
    <n v="2252.5"/>
    <n v="179.6"/>
    <n v="166.3"/>
    <n v="174.7"/>
    <n v="348.5"/>
    <n v="339.1"/>
    <n v="544"/>
    <n v="533.59999999999991"/>
    <n v="174.3"/>
  </r>
  <r>
    <x v="1"/>
    <x v="9"/>
    <x v="6"/>
    <n v="2291.6"/>
    <n v="179.5"/>
    <n v="157.4"/>
    <n v="169.1"/>
    <n v="341.5"/>
    <n v="330.9"/>
    <n v="502"/>
    <n v="527.9"/>
    <n v="172.3"/>
  </r>
  <r>
    <x v="2"/>
    <x v="9"/>
    <x v="6"/>
    <n v="2266.3000000000002"/>
    <n v="179.6"/>
    <n v="161.6"/>
    <n v="171.4"/>
    <n v="345.79999999999995"/>
    <n v="335.20000000000005"/>
    <n v="526.90000000000009"/>
    <n v="529.30000000000007"/>
    <n v="173.4"/>
  </r>
  <r>
    <x v="0"/>
    <x v="9"/>
    <x v="7"/>
    <n v="2255.7999999999997"/>
    <n v="179.1"/>
    <n v="166.6"/>
    <n v="175.7"/>
    <n v="350.5"/>
    <n v="341.3"/>
    <n v="547.9"/>
    <n v="535.59999999999991"/>
    <n v="175.3"/>
  </r>
  <r>
    <x v="1"/>
    <x v="9"/>
    <x v="7"/>
    <n v="2293.6999999999998"/>
    <n v="178.4"/>
    <n v="157.69999999999999"/>
    <n v="169.9"/>
    <n v="344"/>
    <n v="333.2"/>
    <n v="505.29999999999995"/>
    <n v="529.20000000000005"/>
    <n v="173.1"/>
  </r>
  <r>
    <x v="2"/>
    <x v="9"/>
    <x v="7"/>
    <n v="2269.2000000000003"/>
    <n v="178.8"/>
    <n v="161.9"/>
    <n v="172.3"/>
    <n v="348"/>
    <n v="337.5"/>
    <n v="530.70000000000005"/>
    <n v="531"/>
    <n v="174.3"/>
  </r>
  <r>
    <x v="0"/>
    <x v="9"/>
    <x v="8"/>
    <n v="2267.8000000000002"/>
    <n v="179.7"/>
    <n v="166.9"/>
    <n v="176.2"/>
    <n v="351"/>
    <n v="343.1"/>
    <n v="552.5"/>
    <n v="537.6"/>
    <n v="176.4"/>
  </r>
  <r>
    <x v="1"/>
    <x v="9"/>
    <x v="8"/>
    <n v="2306.4"/>
    <n v="179.2"/>
    <n v="158.19999999999999"/>
    <n v="170.9"/>
    <n v="344.9"/>
    <n v="334.5"/>
    <n v="509.7"/>
    <n v="531.59999999999991"/>
    <n v="174.1"/>
  </r>
  <r>
    <x v="2"/>
    <x v="9"/>
    <x v="8"/>
    <n v="2280.9"/>
    <n v="179.5"/>
    <n v="162.30000000000001"/>
    <n v="173.1"/>
    <n v="348.70000000000005"/>
    <n v="339"/>
    <n v="535.1"/>
    <n v="533.19999999999993"/>
    <n v="175.3"/>
  </r>
  <r>
    <x v="0"/>
    <x v="9"/>
    <x v="9"/>
    <n v="2284.5"/>
    <n v="180.8"/>
    <n v="167.4"/>
    <n v="176.5"/>
    <n v="353.2"/>
    <n v="345.6"/>
    <n v="556.4"/>
    <n v="539.4"/>
    <n v="177.9"/>
  </r>
  <r>
    <x v="1"/>
    <x v="9"/>
    <x v="9"/>
    <n v="2322.3000000000002"/>
    <n v="180"/>
    <n v="158.80000000000001"/>
    <n v="171.2"/>
    <n v="347"/>
    <n v="337.2"/>
    <n v="511.70000000000005"/>
    <n v="533.20000000000005"/>
    <n v="175.3"/>
  </r>
  <r>
    <x v="2"/>
    <x v="9"/>
    <x v="9"/>
    <n v="2297.3000000000002"/>
    <n v="180.5"/>
    <n v="162.9"/>
    <n v="173.4"/>
    <n v="350.79999999999995"/>
    <n v="341.6"/>
    <n v="538.20000000000005"/>
    <n v="535"/>
    <n v="176.7"/>
  </r>
  <r>
    <x v="0"/>
    <x v="9"/>
    <x v="11"/>
    <n v="2287.6999999999998"/>
    <n v="181.9"/>
    <n v="167.5"/>
    <n v="176.9"/>
    <n v="355.70000000000005"/>
    <n v="347.3"/>
    <n v="559.29999999999995"/>
    <n v="540.9"/>
    <n v="177.8"/>
  </r>
  <r>
    <x v="1"/>
    <x v="9"/>
    <x v="11"/>
    <n v="2314.4"/>
    <n v="180.3"/>
    <n v="158.9"/>
    <n v="171.5"/>
    <n v="349.6"/>
    <n v="338.70000000000005"/>
    <n v="514.9"/>
    <n v="534.70000000000005"/>
    <n v="174.1"/>
  </r>
  <r>
    <x v="2"/>
    <x v="9"/>
    <x v="11"/>
    <n v="2296.8000000000002"/>
    <n v="181.3"/>
    <n v="163"/>
    <n v="173.7"/>
    <n v="353.4"/>
    <n v="343.20000000000005"/>
    <n v="541.4"/>
    <n v="536.5"/>
    <n v="176.5"/>
  </r>
  <r>
    <x v="0"/>
    <x v="9"/>
    <x v="12"/>
    <n v="2277.1"/>
    <n v="182.8"/>
    <n v="167.8"/>
    <n v="177.3"/>
    <n v="359.2"/>
    <n v="347.1"/>
    <n v="561.79999999999995"/>
    <n v="542.6"/>
    <n v="177.1"/>
  </r>
  <r>
    <x v="1"/>
    <x v="9"/>
    <x v="12"/>
    <n v="2295.7999999999997"/>
    <n v="180.6"/>
    <n v="159.4"/>
    <n v="171.8"/>
    <n v="353.2"/>
    <n v="338"/>
    <n v="517.9"/>
    <n v="536.4"/>
    <n v="174.1"/>
  </r>
  <r>
    <x v="2"/>
    <x v="9"/>
    <x v="12"/>
    <n v="2283.4"/>
    <n v="182"/>
    <n v="163.4"/>
    <n v="174.1"/>
    <n v="356.9"/>
    <n v="342.79999999999995"/>
    <n v="544"/>
    <n v="538.20000000000005"/>
    <n v="175.7"/>
  </r>
  <r>
    <x v="0"/>
    <x v="10"/>
    <x v="0"/>
    <n v="2283.2000000000003"/>
    <n v="183.2"/>
    <n v="168.2"/>
    <n v="177.8"/>
    <n v="363.1"/>
    <n v="349.29999999999995"/>
    <n v="563.9"/>
    <n v="545.20000000000005"/>
    <n v="177.8"/>
  </r>
  <r>
    <x v="1"/>
    <x v="10"/>
    <x v="0"/>
    <n v="2310.2000000000003"/>
    <n v="180.1"/>
    <n v="159.5"/>
    <n v="171.8"/>
    <n v="357.3"/>
    <n v="340.1"/>
    <n v="520.6"/>
    <n v="538.30000000000007"/>
    <n v="174.9"/>
  </r>
  <r>
    <x v="2"/>
    <x v="10"/>
    <x v="0"/>
    <n v="2292.6999999999998"/>
    <n v="182"/>
    <n v="163.6"/>
    <n v="174.3"/>
    <n v="360.9"/>
    <n v="345"/>
    <n v="546.29999999999995"/>
    <n v="540.5"/>
    <n v="176.5"/>
  </r>
  <r>
    <x v="0"/>
    <x v="10"/>
    <x v="1"/>
    <n v="2265.6999999999998"/>
    <n v="181.6"/>
    <n v="169"/>
    <n v="178.5"/>
    <n v="367.29999999999995"/>
    <n v="352.1"/>
    <n v="566.6"/>
    <n v="549"/>
    <n v="178"/>
  </r>
  <r>
    <x v="1"/>
    <x v="10"/>
    <x v="1"/>
    <n v="2303.1999999999998"/>
    <n v="182.8"/>
    <n v="159.80000000000001"/>
    <n v="172.5"/>
    <n v="362.20000000000005"/>
    <n v="342.7"/>
    <n v="525.5"/>
    <n v="541.09999999999991"/>
    <n v="176.3"/>
  </r>
  <r>
    <x v="2"/>
    <x v="10"/>
    <x v="1"/>
    <n v="2279.1"/>
    <n v="182.1"/>
    <n v="164.2"/>
    <n v="175"/>
    <n v="365.4"/>
    <n v="347.7"/>
    <n v="550"/>
    <n v="543.9"/>
    <n v="177.2"/>
  </r>
  <r>
    <x v="0"/>
    <x v="10"/>
    <x v="2"/>
    <n v="2265.8000000000002"/>
    <n v="181.4"/>
    <n v="169"/>
    <n v="178.5"/>
    <n v="367.29999999999995"/>
    <n v="352.1"/>
    <n v="566.6"/>
    <n v="549.1"/>
    <n v="178"/>
  </r>
  <r>
    <x v="1"/>
    <x v="10"/>
    <x v="2"/>
    <n v="2303.4"/>
    <n v="182.6"/>
    <n v="159.80000000000001"/>
    <n v="172.5"/>
    <n v="362.3"/>
    <n v="342.7"/>
    <n v="525.4"/>
    <n v="541.09999999999991"/>
    <n v="176.3"/>
  </r>
  <r>
    <x v="2"/>
    <x v="10"/>
    <x v="2"/>
    <n v="2279.1999999999998"/>
    <n v="181.9"/>
    <n v="164.2"/>
    <n v="175"/>
    <n v="365.4"/>
    <n v="347.7"/>
    <n v="549.9"/>
    <n v="543.9"/>
    <n v="177.2"/>
  </r>
  <r>
    <x v="0"/>
    <x v="10"/>
    <x v="3"/>
    <n v="2274.1999999999998"/>
    <n v="181.5"/>
    <n v="169.4"/>
    <n v="179.4"/>
    <n v="371"/>
    <n v="354.29999999999995"/>
    <n v="568.20000000000005"/>
    <n v="551.6"/>
    <n v="178.8"/>
  </r>
  <r>
    <x v="1"/>
    <x v="10"/>
    <x v="3"/>
    <n v="2317.7000000000003"/>
    <n v="182.1"/>
    <n v="160.1"/>
    <n v="174.2"/>
    <n v="365.9"/>
    <n v="344.79999999999995"/>
    <n v="527.6"/>
    <n v="543.20000000000005"/>
    <n v="177.4"/>
  </r>
  <r>
    <x v="2"/>
    <x v="10"/>
    <x v="3"/>
    <n v="2289.6000000000004"/>
    <n v="181.7"/>
    <n v="164.5"/>
    <n v="176.4"/>
    <n v="369"/>
    <n v="349.79999999999995"/>
    <n v="551.79999999999995"/>
    <n v="546.29999999999995"/>
    <n v="178.1"/>
  </r>
  <r>
    <x v="0"/>
    <x v="10"/>
    <x v="4"/>
    <n v="2290.7000000000007"/>
    <n v="182.5"/>
    <n v="169.7"/>
    <n v="180.3"/>
    <n v="372.70000000000005"/>
    <n v="355.4"/>
    <n v="569.90000000000009"/>
    <n v="553.20000000000005"/>
    <n v="179.8"/>
  </r>
  <r>
    <x v="1"/>
    <x v="10"/>
    <x v="4"/>
    <n v="2335.1"/>
    <n v="183.4"/>
    <n v="160.4"/>
    <n v="174.8"/>
    <n v="367.79999999999995"/>
    <n v="345.7"/>
    <n v="528.70000000000005"/>
    <n v="545"/>
    <n v="178.2"/>
  </r>
  <r>
    <x v="2"/>
    <x v="10"/>
    <x v="4"/>
    <n v="2306.9"/>
    <n v="182.8"/>
    <n v="164.8"/>
    <n v="177.1"/>
    <n v="370.9"/>
    <n v="350.79999999999995"/>
    <n v="553.20000000000005"/>
    <n v="547.9"/>
    <n v="179.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  <s v="Cereals and products"/>
    <n v="173.2"/>
    <n v="174.7"/>
    <n v="173.7"/>
  </r>
  <r>
    <x v="0"/>
    <s v="Meat and fish"/>
    <n v="211.5"/>
    <n v="219.4"/>
    <n v="214.3"/>
  </r>
  <r>
    <x v="0"/>
    <s v="Egg"/>
    <n v="171"/>
    <n v="176.7"/>
    <n v="173.2"/>
  </r>
  <r>
    <x v="0"/>
    <s v="Milk and products"/>
    <n v="179.6"/>
    <n v="179.4"/>
    <n v="179.5"/>
  </r>
  <r>
    <x v="0"/>
    <s v="Oils and fats"/>
    <n v="173.3"/>
    <n v="164.4"/>
    <n v="170"/>
  </r>
  <r>
    <x v="0"/>
    <s v="Fruits"/>
    <n v="169"/>
    <n v="175.8"/>
    <n v="172.2"/>
  </r>
  <r>
    <x v="0"/>
    <s v="Vegetables"/>
    <n v="148.69999999999999"/>
    <n v="185"/>
    <n v="161"/>
  </r>
  <r>
    <x v="0"/>
    <s v="Pulses and products"/>
    <n v="174.9"/>
    <n v="176.9"/>
    <n v="175.6"/>
  </r>
  <r>
    <x v="0"/>
    <s v="Sugar and Confectionery"/>
    <n v="121.9"/>
    <n v="124.2"/>
    <n v="122.7"/>
  </r>
  <r>
    <x v="0"/>
    <s v="Spices"/>
    <n v="221"/>
    <n v="211.9"/>
    <n v="218"/>
  </r>
  <r>
    <x v="0"/>
    <s v="Non-alcoholic beverages"/>
    <n v="178.7"/>
    <n v="165.9"/>
    <n v="173.4"/>
  </r>
  <r>
    <x v="0"/>
    <s v="Prepared meals, snacks, sweets etc."/>
    <n v="191.1"/>
    <n v="197.7"/>
    <n v="194.2"/>
  </r>
  <r>
    <x v="0"/>
    <s v="Food and beverages"/>
    <n v="176.8"/>
    <n v="183.1"/>
    <n v="179.1"/>
  </r>
  <r>
    <x v="1"/>
    <s v="Fuel and light"/>
    <n v="182.5"/>
    <n v="183.4"/>
    <n v="182.8"/>
  </r>
  <r>
    <x v="2"/>
    <s v="Transport and communication"/>
    <n v="169.7"/>
    <n v="160.4"/>
    <n v="164.8"/>
  </r>
  <r>
    <x v="3"/>
    <s v="Education"/>
    <n v="180.3"/>
    <n v="174.8"/>
    <n v="177.1"/>
  </r>
  <r>
    <x v="4"/>
    <s v="Health"/>
    <n v="187.8"/>
    <n v="182.2"/>
    <n v="185.7"/>
  </r>
  <r>
    <x v="4"/>
    <s v="Personal care and effects"/>
    <n v="184.9"/>
    <n v="185.6"/>
    <n v="185.2"/>
  </r>
  <r>
    <x v="5"/>
    <s v="Housing"/>
    <n v="175.6"/>
    <n v="175.6"/>
    <n v="175.6"/>
  </r>
  <r>
    <x v="5"/>
    <s v="Household goods and services"/>
    <n v="179.8"/>
    <n v="170.1"/>
    <n v="175.2"/>
  </r>
  <r>
    <x v="6"/>
    <s v="Clothing"/>
    <n v="191.2"/>
    <n v="181.3"/>
    <n v="187.3"/>
  </r>
  <r>
    <x v="6"/>
    <s v="Footwear"/>
    <n v="187.9"/>
    <n v="168.1"/>
    <n v="179.7"/>
  </r>
  <r>
    <x v="6"/>
    <s v="Clothing and footwear"/>
    <n v="190.8"/>
    <n v="179.3"/>
    <n v="186.2"/>
  </r>
  <r>
    <x v="7"/>
    <s v="Pan, tobacco and intoxicants"/>
    <n v="199.9"/>
    <n v="204.2"/>
    <n v="201"/>
  </r>
  <r>
    <x v="7"/>
    <s v="Recreation and amusement"/>
    <n v="173.8"/>
    <n v="169.2"/>
    <n v="171.2"/>
  </r>
  <r>
    <x v="7"/>
    <s v="Miscellaneous"/>
    <n v="179.5"/>
    <n v="171.6"/>
    <n v="175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D9CB6-FB37-4DFE-9861-F04CFD9AB73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J11:K20" firstHeaderRow="1" firstDataRow="1" firstDataCol="1"/>
  <pivotFields count="5">
    <pivotField axis="axisRow" showAll="0" sortType="descending">
      <items count="9">
        <item x="6"/>
        <item x="3"/>
        <item x="1"/>
        <item x="0"/>
        <item x="4"/>
        <item x="5"/>
        <item x="7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dataField="1" showAll="0"/>
  </pivotFields>
  <rowFields count="1">
    <field x="0"/>
  </rowFields>
  <rowItems count="9">
    <i>
      <x v="3"/>
    </i>
    <i>
      <x/>
    </i>
    <i>
      <x v="6"/>
    </i>
    <i>
      <x v="4"/>
    </i>
    <i>
      <x v="5"/>
    </i>
    <i>
      <x v="2"/>
    </i>
    <i>
      <x v="1"/>
    </i>
    <i>
      <x v="7"/>
    </i>
    <i t="grand">
      <x/>
    </i>
  </rowItems>
  <colItems count="1">
    <i/>
  </colItems>
  <dataFields count="1">
    <dataField name="Sum of Rural + Urban" fld="4" showDataAs="percentOfTotal" baseField="0" baseItem="3" numFmtId="10"/>
  </dataFields>
  <formats count="7">
    <format dxfId="72">
      <pivotArea type="all" dataOnly="0" outline="0" fieldPosition="0"/>
    </format>
    <format dxfId="71">
      <pivotArea outline="0" collapsedLevelsAreSubtotals="1" fieldPosition="0"/>
    </format>
    <format dxfId="70">
      <pivotArea field="0" type="button" dataOnly="0" labelOnly="1" outline="0" axis="axisRow" fieldPosition="0"/>
    </format>
    <format dxfId="69">
      <pivotArea dataOnly="0" labelOnly="1" fieldPosition="0">
        <references count="1">
          <reference field="0" count="0"/>
        </references>
      </pivotArea>
    </format>
    <format dxfId="68">
      <pivotArea dataOnly="0" labelOnly="1" grandRow="1" outline="0" fieldPosition="0"/>
    </format>
    <format dxfId="67">
      <pivotArea dataOnly="0" labelOnly="1" outline="0" axis="axisValues" fieldPosition="0"/>
    </format>
    <format dxfId="66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1">
            <reference field="0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chartFormats count="3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7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7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7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9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9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9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9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9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9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9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9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1" format="4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1" format="5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1" format="5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D4ECB2-C959-4B7F-BC7F-441B561A0F99}" name="PivotTable2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B4:D14" firstHeaderRow="1" firstDataRow="2" firstDataCol="1" rowPageCount="1" colPageCount="1"/>
  <pivotFields count="12">
    <pivotField axis="axisPage" showAll="0">
      <items count="4">
        <item x="0"/>
        <item x="2"/>
        <item x="1"/>
        <item t="default"/>
      </items>
    </pivotField>
    <pivotField axis="axisRow" showAll="0">
      <items count="12">
        <item h="1" x="0"/>
        <item h="1" x="1"/>
        <item h="1" x="2"/>
        <item x="3"/>
        <item x="4"/>
        <item x="5"/>
        <item x="6"/>
        <item x="7"/>
        <item x="8"/>
        <item x="9"/>
        <item x="10"/>
        <item t="default"/>
      </items>
    </pivotField>
    <pivotField axis="axisCol" showAll="0">
      <items count="14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1"/>
        <item x="12"/>
        <item h="1" x="10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</pivotFields>
  <rowFields count="1">
    <field x="1"/>
  </rowFields>
  <rowItems count="9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2">
    <i>
      <x/>
    </i>
    <i>
      <x v="11"/>
    </i>
  </colItems>
  <pageFields count="1">
    <pageField fld="0" item="1" hier="-1"/>
  </pageFields>
  <dataFields count="1">
    <dataField name="Sum of General index" fld="11" baseField="0" baseItem="0"/>
  </dataFields>
  <formats count="1">
    <format dxfId="63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83DFC5-DC33-4927-8078-1F3D0DED72B0}" name="Table1" displayName="Table1" ref="A1:AD373" totalsRowShown="0">
  <autoFilter ref="A1:AD373" xr:uid="{0B83DFC5-DC33-4927-8078-1F3D0DED72B0}"/>
  <tableColumns count="30">
    <tableColumn id="1" xr3:uid="{715CAAAD-0B6C-4655-A66A-EFADB01A5F4D}" name="Sector"/>
    <tableColumn id="2" xr3:uid="{32A9FAB8-02D0-4901-9F0A-F4A3E285FB2C}" name="Year" dataDxfId="140"/>
    <tableColumn id="3" xr3:uid="{5BEE7776-E51B-433B-835E-E3FAE5AF2EE1}" name="Month"/>
    <tableColumn id="4" xr3:uid="{CA543168-87EE-41E3-935E-36B5FE6DDB83}" name="Cereals and products" dataDxfId="139"/>
    <tableColumn id="5" xr3:uid="{B78A68C4-007B-4D56-AEC6-C8636EA74727}" name="Meat and fish" dataDxfId="138"/>
    <tableColumn id="6" xr3:uid="{A1F58F82-4D92-4AED-A01A-66B07959D460}" name="Egg" dataDxfId="137"/>
    <tableColumn id="7" xr3:uid="{AAFB90B5-7945-4493-AFE4-605CDE5E12F9}" name="Milk and products" dataDxfId="136"/>
    <tableColumn id="8" xr3:uid="{6532F3F0-75E4-481D-BB48-40B44D87310E}" name="Oils and fats" dataDxfId="135"/>
    <tableColumn id="9" xr3:uid="{03E0E6FC-47EF-4530-B077-FB447ACF0B5B}" name="Fruits" dataDxfId="134"/>
    <tableColumn id="10" xr3:uid="{F543F3F6-8A7F-4FF0-AFA2-FD9DD46CB212}" name="Vegetables" dataDxfId="133"/>
    <tableColumn id="11" xr3:uid="{233EC141-6217-4395-8D3F-32E460BA3BF1}" name="Pulses and products" dataDxfId="132"/>
    <tableColumn id="12" xr3:uid="{05542FCA-0ED6-4312-8C47-8CB4DC4F555E}" name="Sugar and Confectionery" dataDxfId="131"/>
    <tableColumn id="13" xr3:uid="{D47C84F6-F77F-4795-A8CF-A5DD44DD2694}" name="Spices" dataDxfId="130"/>
    <tableColumn id="14" xr3:uid="{740A7981-6EB7-4DC5-933C-9D50BE022069}" name="Non-alcoholic beverages" dataDxfId="129"/>
    <tableColumn id="15" xr3:uid="{5C797E8F-479C-4D79-9033-3303464747B5}" name="Prepared meals, snacks, sweets etc." dataDxfId="128"/>
    <tableColumn id="16" xr3:uid="{7DE3D119-85CF-48E8-B075-25986D5C1281}" name="Food and beverages" dataDxfId="127"/>
    <tableColumn id="17" xr3:uid="{78E77F39-0211-4AAF-BC9C-2B0773B4BE15}" name="Pan, tobacco and intoxicants" dataDxfId="126"/>
    <tableColumn id="18" xr3:uid="{35F9D0EC-C4BF-4342-8A30-3E6D9CF7734F}" name="Clothing" dataDxfId="125"/>
    <tableColumn id="19" xr3:uid="{D6D4C376-A13B-494B-BA73-1EC0135CDFBD}" name="Footwear" dataDxfId="124"/>
    <tableColumn id="20" xr3:uid="{0B4876D8-D172-4908-948D-4B7641D71F0A}" name="Clothing and footwear" dataDxfId="123"/>
    <tableColumn id="21" xr3:uid="{620C09F0-1299-4284-BC50-C5CE2E9E9B4C}" name="Housing" dataDxfId="122"/>
    <tableColumn id="22" xr3:uid="{6FE428FD-5D86-4B00-BA13-09DCAC4B77EF}" name="Fuel and light" dataDxfId="121"/>
    <tableColumn id="23" xr3:uid="{12B16DA0-8B4F-4B72-9CB4-B956E84567B1}" name="Household goods and services" dataDxfId="120"/>
    <tableColumn id="24" xr3:uid="{598FEA3F-C95E-40A0-9ED4-C3999D83A093}" name="Health" dataDxfId="119"/>
    <tableColumn id="25" xr3:uid="{7BF32310-932F-4AE2-B385-9A3E395FB10A}" name="Transport and communication" dataDxfId="118"/>
    <tableColumn id="26" xr3:uid="{0B2B3E7E-5584-4251-B252-4FCFBD697E5C}" name="Recreation and amusement" dataDxfId="117"/>
    <tableColumn id="27" xr3:uid="{5783FCDB-D8DB-462C-8B27-E9F9FF24EFD1}" name="Education" dataDxfId="116"/>
    <tableColumn id="28" xr3:uid="{7E57FF4C-B09B-4724-9B4A-41C3B1D4EF79}" name="Personal care and effects" dataDxfId="115"/>
    <tableColumn id="29" xr3:uid="{83077867-5C03-46D3-A432-408F616CF633}" name="Miscellaneous" dataDxfId="114"/>
    <tableColumn id="30" xr3:uid="{3A92B50F-A414-40A3-A330-3A0314081989}" name="General index" dataDxfId="1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BA58C7-F945-4737-8F62-5D3B19F18EFC}" name="Table13" displayName="Table13" ref="A1:AD373" totalsRowShown="0" headerRowDxfId="112">
  <autoFilter ref="A1:AD373" xr:uid="{0B83DFC5-DC33-4927-8078-1F3D0DED72B0}">
    <filterColumn colId="0">
      <filters>
        <filter val="Rural+Urban"/>
      </filters>
    </filterColumn>
    <filterColumn colId="1">
      <filters>
        <filter val="2021"/>
        <filter val="2022"/>
        <filter val="2023"/>
      </filters>
    </filterColumn>
  </autoFilter>
  <tableColumns count="30">
    <tableColumn id="1" xr3:uid="{560D4DD1-7B09-4D56-99F7-3190F7EE9C05}" name="Sector"/>
    <tableColumn id="2" xr3:uid="{9324204D-0230-463D-A3EB-BFCD66302393}" name="Year"/>
    <tableColumn id="3" xr3:uid="{05F3DF6D-4F73-4489-B004-7C5A0D8DD9B6}" name="Month"/>
    <tableColumn id="4" xr3:uid="{385E29A5-BC79-4C8B-B90C-6ECF049AB9C9}" name="Cereals and products" dataDxfId="111"/>
    <tableColumn id="5" xr3:uid="{F6F74487-6ADA-44AB-96D0-310B305678BC}" name="Meat and fish" dataDxfId="110"/>
    <tableColumn id="6" xr3:uid="{680E71AE-1A0E-4307-B1CD-161D70EB9C7A}" name="Egg" dataDxfId="109"/>
    <tableColumn id="7" xr3:uid="{BF12719F-646E-4DDD-9D48-A11A4F6CC464}" name="Milk and products" dataDxfId="108"/>
    <tableColumn id="8" xr3:uid="{AA4AC6AE-1358-48D5-8539-3AEE892F7BFE}" name="Oils and fats" dataDxfId="107"/>
    <tableColumn id="9" xr3:uid="{16415C33-2B46-41B8-BA02-71F5773A5928}" name="Fruits" dataDxfId="106"/>
    <tableColumn id="10" xr3:uid="{ACDFF7EE-4070-4392-8264-F0B33FBFB69A}" name="Vegetables" dataDxfId="105"/>
    <tableColumn id="11" xr3:uid="{5B4D1A5D-D54C-4DE9-B284-2C9C36EDE7EC}" name="Pulses and products" dataDxfId="104"/>
    <tableColumn id="12" xr3:uid="{4FBFE6BF-CE8C-4C53-BCFB-8E2EB10334AC}" name="Sugar and Confectionery" dataDxfId="103"/>
    <tableColumn id="13" xr3:uid="{09C2E7F0-77D0-48D9-8BB6-6BEF81F07EB8}" name="Spices" dataDxfId="102"/>
    <tableColumn id="14" xr3:uid="{5A1F6C61-E600-4F4F-93A3-D32F573A91AC}" name="Non-alcoholic beverages" dataDxfId="101"/>
    <tableColumn id="15" xr3:uid="{FC2278CB-6632-4E92-9B91-C17D16E35DBF}" name="Prepared meals, snacks, sweets etc." dataDxfId="100"/>
    <tableColumn id="16" xr3:uid="{A27D9870-FF1E-4DBC-8564-23B191A4783F}" name="Food and beverages" dataDxfId="99"/>
    <tableColumn id="17" xr3:uid="{727ECE5E-6C87-41A5-9F42-2D50C4F906E4}" name="Pan, tobacco and intoxicants" dataDxfId="98"/>
    <tableColumn id="18" xr3:uid="{31F2F626-6C9E-43F1-808D-8F8DB33CF89A}" name="Clothing" dataDxfId="97"/>
    <tableColumn id="19" xr3:uid="{C8E996D7-AA63-4553-94A6-6A61DAAD706B}" name="Footwear" dataDxfId="96"/>
    <tableColumn id="20" xr3:uid="{B7418412-6695-4B5A-999C-3412354860B1}" name="Clothing and footwear" dataDxfId="95"/>
    <tableColumn id="21" xr3:uid="{3BE9FF6E-DEE2-40D6-8019-E906E8B0EBCB}" name="Housing" dataDxfId="94"/>
    <tableColumn id="22" xr3:uid="{B8B71F1D-1268-4520-A154-E110559C3B24}" name="Fuel and light" dataDxfId="93"/>
    <tableColumn id="23" xr3:uid="{06D67D63-BCE6-4BC2-875A-BECF145235C9}" name="Household goods and services" dataDxfId="92"/>
    <tableColumn id="24" xr3:uid="{E902F6D0-CC29-456C-B4A7-6505FCFEDD4F}" name="Health" dataDxfId="91"/>
    <tableColumn id="25" xr3:uid="{CE477D5B-C525-4FB0-A59F-CC18693B433F}" name="Transport and communication" dataDxfId="90"/>
    <tableColumn id="26" xr3:uid="{7CAD2657-0356-4F9F-8833-FA2AFA9EF102}" name="Recreation and amusement" dataDxfId="89"/>
    <tableColumn id="27" xr3:uid="{41347B4F-D324-4BA7-BD6E-DA56719A4173}" name="Education" dataDxfId="88"/>
    <tableColumn id="28" xr3:uid="{0AE20B14-81CE-4B1D-8C1F-E010D8FBC8D1}" name="Personal care and effects" dataDxfId="87"/>
    <tableColumn id="29" xr3:uid="{2CAD9A97-F8A8-494E-8F8C-800811C2A35B}" name="Miscellaneous" dataDxfId="86"/>
    <tableColumn id="30" xr3:uid="{280EAD2B-465C-48B7-AD6E-A30D581E9844}" name="General index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7352EF-2F18-4BBD-94AD-B925B389E4EE}" name="Table5" displayName="Table5" ref="A1:L373" totalsRowShown="0" tableBorderDxfId="84">
  <autoFilter ref="A1:L373" xr:uid="{0E7352EF-2F18-4BBD-94AD-B925B389E4EE}">
    <filterColumn colId="0">
      <filters>
        <filter val="Rural+Urban"/>
      </filters>
    </filterColumn>
    <filterColumn colId="1">
      <filters>
        <filter val="2019"/>
        <filter val="2020"/>
        <filter val="2021"/>
      </filters>
    </filterColumn>
  </autoFilter>
  <tableColumns count="12">
    <tableColumn id="1" xr3:uid="{43A4D83F-4B27-4021-9C5B-8A66392C7495}" name="Sector" dataDxfId="83"/>
    <tableColumn id="2" xr3:uid="{56378F5F-0921-4E4F-87D4-F1EFA0B60190}" name="Year" dataDxfId="82"/>
    <tableColumn id="3" xr3:uid="{F8A67F3F-3632-486B-985D-57BEB2B7B826}" name="Month" dataDxfId="81"/>
    <tableColumn id="4" xr3:uid="{B5441D97-7F57-4234-A1F5-091C26966018}" name="Food &amp; Beverages">
      <calculatedColumnFormula>SUM(Table13[[#This Row],[Cereals and products]:[Food and beverages]])</calculatedColumnFormula>
    </tableColumn>
    <tableColumn id="5" xr3:uid="{60BECDE2-3312-4F1A-82BF-55F797BF48CD}" name="Energy" dataDxfId="80"/>
    <tableColumn id="6" xr3:uid="{9820785B-3BE9-4D63-BF43-E3F357D1C754}" name="Transportation" dataDxfId="79"/>
    <tableColumn id="7" xr3:uid="{3C5A19C1-6E74-4646-905C-6D58F0431C10}" name="Education" dataDxfId="78"/>
    <tableColumn id="8" xr3:uid="{DEC9C363-23AB-4BE6-AE3E-9336E2731707}" name="Health and Personal care" dataDxfId="77">
      <calculatedColumnFormula>SUM('Working Data'!X2,'Working Data'!AB2)</calculatedColumnFormula>
    </tableColumn>
    <tableColumn id="9" xr3:uid="{5C4716ED-55A7-4F37-912F-860DF725D22A}" name="Housing and Household" dataDxfId="76">
      <calculatedColumnFormula>SUM('Working Data'!U2,'Working Data'!W2)</calculatedColumnFormula>
    </tableColumn>
    <tableColumn id="10" xr3:uid="{4820EAEF-E198-4D37-AE75-0B680A162288}" name="Clothing and Footwear" dataDxfId="75">
      <calculatedColumnFormula>SUM('Working Data'!R2,'Working Data'!S2,'Working Data'!T2)</calculatedColumnFormula>
    </tableColumn>
    <tableColumn id="11" xr3:uid="{327C792E-6114-466D-9702-3F4544CCCC05}" name="Recreation and miscellaneous" dataDxfId="74">
      <calculatedColumnFormula>SUM('Working Data'!AC2,'Working Data'!Z2,'Working Data'!Q2)</calculatedColumnFormula>
    </tableColumn>
    <tableColumn id="14" xr3:uid="{F6D6E68B-7CCD-41F0-89D8-910901DD7445}" name="General index" dataDxfId="7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02988C-C424-49FE-9C5B-DF6E6AD93A17}" name="Table3" displayName="Table3" ref="D2:H28" totalsRowShown="0" headerRowDxfId="65">
  <autoFilter ref="D2:H28" xr:uid="{D802988C-C424-49FE-9C5B-DF6E6AD93A17}"/>
  <tableColumns count="5">
    <tableColumn id="1" xr3:uid="{1B332FCA-FC5F-403A-ADB2-E8EB46FFA73A}" name="Broader categories"/>
    <tableColumn id="2" xr3:uid="{8B3B8795-AD6A-4099-8BC3-BDE544B07C56}" name="Sub-categories"/>
    <tableColumn id="3" xr3:uid="{3F704F36-3F17-49D6-B58C-81E022BB5980}" name="Rural" dataDxfId="64">
      <calculatedColumnFormula>HLOOKUP(E3,Table13[[#All],[Cereals and products]:[General index]],371,0)</calculatedColumnFormula>
    </tableColumn>
    <tableColumn id="4" xr3:uid="{6D749C2B-B35F-4E54-A071-A73B0145AE9B}" name="Urban">
      <calculatedColumnFormula>HLOOKUP(E3,Table13[[#All],[Cereals and products]:[General index]],372,0)</calculatedColumnFormula>
    </tableColumn>
    <tableColumn id="5" xr3:uid="{3D0254EA-A62F-432A-8676-A903B7E4A8FD}" name="Rural + Urban">
      <calculatedColumnFormula>HLOOKUP(E3,Table13[[#All],[Cereals and products]:[General index]],373,0)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13CC9A-6427-4D77-9725-BBD86A324804}" name="Table4" displayName="Table4" ref="B2:C28" totalsRowShown="0">
  <autoFilter ref="B2:C28" xr:uid="{6E13CC9A-6427-4D77-9725-BBD86A324804}"/>
  <tableColumns count="2">
    <tableColumn id="1" xr3:uid="{6782852D-1DF7-4ACA-94FA-9E606197C902}" name="Year"/>
    <tableColumn id="2" xr3:uid="{B6E9D708-5CFC-467D-B47A-E16BE13774BC}" name="Mont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213381-2E39-4119-8DB3-2B649A379DFE}" name="Table8" displayName="Table8" ref="B16:E24" totalsRowShown="0" headerRowDxfId="62" headerRowBorderDxfId="61">
  <autoFilter ref="B16:E24" xr:uid="{C3213381-2E39-4119-8DB3-2B649A379DFE}"/>
  <tableColumns count="4">
    <tableColumn id="1" xr3:uid="{8C89B100-2446-4FA2-BE17-0F92493979CB}" name="Row Labels"/>
    <tableColumn id="2" xr3:uid="{10B8BF12-60D1-4151-B6CB-9871539ACDB9}" name="January"/>
    <tableColumn id="3" xr3:uid="{4E1D3403-770C-40E5-ABB8-104A40BA253B}" name="December"/>
    <tableColumn id="4" xr3:uid="{58701534-7C7A-477D-96D7-6B4B8FF53A8B}" name="Y-o-Y Inflation Rate" dataDxfId="60" dataCellStyle="Perce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ABC4DD-67FA-49D3-8257-B6B887C004FD}" name="Table9" displayName="Table9" ref="B11:F23" totalsRowShown="0" headerRowDxfId="59" dataDxfId="58" tableBorderDxfId="57">
  <autoFilter ref="B11:F23" xr:uid="{8DABC4DD-67FA-49D3-8257-B6B887C004FD}"/>
  <tableColumns count="5">
    <tableColumn id="1" xr3:uid="{E29D8052-E0B9-4DFB-9C4E-BFA0E161A09F}" name="Sector" dataDxfId="56"/>
    <tableColumn id="2" xr3:uid="{ADB2C95B-8E28-4660-BA58-20828F3BC5CE}" name="Year" dataDxfId="55"/>
    <tableColumn id="3" xr3:uid="{AFF6243A-10AE-4DDB-A00D-1C0BD8390617}" name="Month" dataDxfId="54"/>
    <tableColumn id="4" xr3:uid="{B63099D3-7BD6-4A1C-A8F0-344B8DC3C1C6}" name="Food &amp; Beverages" dataDxfId="53"/>
    <tableColumn id="5" xr3:uid="{B05EE3ED-B96D-44F1-BF4D-C826CCB0B291}" name="M-o-M Inflation Rate" dataDxfId="52" dataCellStyle="Percent">
      <calculatedColumnFormula>(E12-E11)/E12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460BFDA-9386-4998-805B-9A191D78488C}" name="Table11" displayName="Table11" ref="B2:K28" totalsRowShown="0" headerRowDxfId="51" dataDxfId="50" tableBorderDxfId="49">
  <autoFilter ref="B2:K28" xr:uid="{A460BFDA-9386-4998-805B-9A191D78488C}"/>
  <tableColumns count="10">
    <tableColumn id="1" xr3:uid="{25002E77-08F5-4811-BA57-11055BC32C32}" name="Sector" dataDxfId="48"/>
    <tableColumn id="2" xr3:uid="{465C19F8-398D-4276-9E46-FB351F7D5BE7}" name="Year" dataDxfId="47"/>
    <tableColumn id="3" xr3:uid="{5C1486D5-14F6-483A-B672-AE460E22D081}" name="Month" dataDxfId="46"/>
    <tableColumn id="4" xr3:uid="{1DB2BD3F-A727-42B0-95C5-D8E0BB977C5B}" name="Food &amp; Beverages" dataDxfId="45"/>
    <tableColumn id="5" xr3:uid="{38E21892-400C-4CFF-BF6D-857CF7D53897}" name="Health and Personal care" dataDxfId="44"/>
    <tableColumn id="6" xr3:uid="{43235574-DCC6-4B4A-BE5F-DF69F74C191D}" name="Essential" dataDxfId="43">
      <calculatedColumnFormula>SUM('Working Data'!W220,'Working Data'!V220,'Working Data'!T220,'Working Data'!Q220)</calculatedColumnFormula>
    </tableColumn>
    <tableColumn id="7" xr3:uid="{CF5D5853-9D3F-4168-B227-E99FA791ECED}" name="Food Inflation" dataDxfId="42">
      <calculatedColumnFormula>(Table11[[#This Row],[Food &amp; Beverages]]-E2)/E2</calculatedColumnFormula>
    </tableColumn>
    <tableColumn id="8" xr3:uid="{1C05C2C0-36A5-4775-B454-D8D56F870EE8}" name="Health Inflation" dataDxfId="41">
      <calculatedColumnFormula>(Table11[[#This Row],[Health and Personal care]]-F2)/F2</calculatedColumnFormula>
    </tableColumn>
    <tableColumn id="9" xr3:uid="{B23DC0EE-C32E-4A56-B9B9-3010B0A30181}" name="Essential Inflation" dataDxfId="40">
      <calculatedColumnFormula>(Table11[[#This Row],[Essential]]-G2)/G2</calculatedColumnFormula>
    </tableColumn>
    <tableColumn id="10" xr3:uid="{15BBE328-889E-445F-80B3-AD848B15EBE6}" name="Period" dataDxfId="3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49FBA3-8F39-4833-BCE0-311A16FBD0DA}" name="Table7" displayName="Table7" ref="B1:AG30" totalsRowShown="0" headerRowDxfId="38" dataDxfId="36" headerRowBorderDxfId="37" tableBorderDxfId="35" totalsRowBorderDxfId="34">
  <autoFilter ref="B1:AG30" xr:uid="{7849FBA3-8F39-4833-BCE0-311A16FBD0DA}"/>
  <tableColumns count="32">
    <tableColumn id="1" xr3:uid="{F4DEE272-50A9-48CB-86B3-1709CF339290}" name="Sector" dataDxfId="33"/>
    <tableColumn id="2" xr3:uid="{F0819027-61F2-4CA9-8DE9-6F997E55EFB2}" name="Year" dataDxfId="32"/>
    <tableColumn id="3" xr3:uid="{09FC8618-30DA-4D61-99CD-601F8C7E702F}" name="Month" dataDxfId="31"/>
    <tableColumn id="31" xr3:uid="{01F52269-335A-4188-84CD-17C54C54F4F9}" name="Crude  Oil Price" dataDxfId="30"/>
    <tableColumn id="32" xr3:uid="{143B1B7C-E574-4FA5-A639-F43FC5CABF4B}" name="Inflation" dataDxfId="29" dataCellStyle="Percent"/>
    <tableColumn id="4" xr3:uid="{F7F48200-70DA-4213-BAD4-458BA7B6DD12}" name="Cereals and products" dataDxfId="28"/>
    <tableColumn id="5" xr3:uid="{B855CAE8-42BC-4784-B2A4-BEBCBEFA7B14}" name="Meat and fish" dataDxfId="27"/>
    <tableColumn id="6" xr3:uid="{64CB8303-3D4D-4AF8-A920-0110E1DC252F}" name="Egg" dataDxfId="26"/>
    <tableColumn id="7" xr3:uid="{10ED5B62-430B-4B77-AB43-C7BB85A6137B}" name="Milk and products" dataDxfId="25"/>
    <tableColumn id="8" xr3:uid="{8B02B535-7441-4EE8-AD04-4A4B2C31F1EC}" name="Oils and fats" dataDxfId="24"/>
    <tableColumn id="9" xr3:uid="{4BD271BD-7692-4E5C-B84C-D29AB15D6367}" name="Fruits" dataDxfId="23"/>
    <tableColumn id="10" xr3:uid="{E7FDB38C-B777-49F9-82BB-68965B372948}" name="Vegetables" dataDxfId="22"/>
    <tableColumn id="11" xr3:uid="{5B50D58D-5F62-470B-B61A-D3EF282CB4C7}" name="Pulses and products" dataDxfId="21"/>
    <tableColumn id="12" xr3:uid="{2B438225-B919-4A94-9CDC-6802B4FABE0B}" name="Sugar and Confectionery" dataDxfId="20"/>
    <tableColumn id="13" xr3:uid="{369099BC-5870-45B7-B42D-0D08975A2ACD}" name="Spices" dataDxfId="19"/>
    <tableColumn id="14" xr3:uid="{171690A5-7B1A-444B-B592-A8274A580418}" name="Non-alcoholic beverages" dataDxfId="18"/>
    <tableColumn id="15" xr3:uid="{89F620AE-A3D9-484E-8D71-458AE8AA363D}" name="Prepared meals, snacks, sweets etc." dataDxfId="17"/>
    <tableColumn id="16" xr3:uid="{991AC07E-AE66-41A4-B293-81EDA92FABF0}" name="Food and beverages" dataDxfId="16"/>
    <tableColumn id="17" xr3:uid="{9DD9D5D7-4E7D-40AD-A2F1-D3DC7F16ED24}" name="Pan, tobacco and intoxicants" dataDxfId="15"/>
    <tableColumn id="18" xr3:uid="{A7EAE988-FB75-4137-9B35-ADE8C24B33C5}" name="Clothing" dataDxfId="14"/>
    <tableColumn id="19" xr3:uid="{EDE50FA8-CD92-41C7-9B90-030271BDDD5F}" name="Footwear" dataDxfId="13"/>
    <tableColumn id="20" xr3:uid="{796A2960-FC78-464D-A52B-A21875BF7F20}" name="Clothing and footwear" dataDxfId="12"/>
    <tableColumn id="21" xr3:uid="{8DD0D92E-FF87-473E-894B-ABFE381EC22C}" name="Housing" dataDxfId="11"/>
    <tableColumn id="22" xr3:uid="{0A251C3A-039C-457D-9D0F-65EE6811816B}" name="Fuel and light" dataDxfId="10"/>
    <tableColumn id="23" xr3:uid="{CA624DAD-BFB7-4449-A69F-8E9695C089B8}" name="Household goods and services" dataDxfId="9"/>
    <tableColumn id="24" xr3:uid="{9140F0DE-A276-4624-93ED-606366CC831B}" name="Health" dataDxfId="8"/>
    <tableColumn id="25" xr3:uid="{B4DC74BA-31C8-4FC1-8900-1AD6F45FC05D}" name="Transport and communication" dataDxfId="7"/>
    <tableColumn id="26" xr3:uid="{C53601E8-0D02-45B9-A26B-9D1AE2450789}" name="Recreation and amusement" dataDxfId="6"/>
    <tableColumn id="27" xr3:uid="{3738797E-8E2C-4BED-995D-137D572B6024}" name="Education" dataDxfId="5"/>
    <tableColumn id="28" xr3:uid="{EF0D0269-D414-407D-964C-42EDEE78965D}" name="Personal care and effects" dataDxfId="4"/>
    <tableColumn id="29" xr3:uid="{FA27C157-61ED-4C99-A2B0-C1C864162751}" name="Miscellaneous" dataDxfId="3"/>
    <tableColumn id="30" xr3:uid="{68E638B3-8C2A-4FC6-83E5-504C9C6B6752}" name="General index" dataDxfId="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4D09CA9-D776-4048-865A-E054E65C8180}" name="Table10" displayName="Table10" ref="B32:C58" totalsRowShown="0" headerRowDxfId="1" tableBorderDxfId="0">
  <autoFilter ref="B32:C58" xr:uid="{F4D09CA9-D776-4048-865A-E054E65C8180}"/>
  <sortState xmlns:xlrd2="http://schemas.microsoft.com/office/spreadsheetml/2017/richdata2" ref="B33:C58">
    <sortCondition descending="1" ref="C32:C58"/>
  </sortState>
  <tableColumns count="2">
    <tableColumn id="1" xr3:uid="{700397B9-9BE5-4DB5-A77E-C32949D47A32}" name="Category"/>
    <tableColumn id="2" xr3:uid="{04D15503-5C7F-4D99-A73E-2E55CF620CF4}" name="Correl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A1C1D-1D55-4B9F-A327-8309587F1343}">
  <dimension ref="B1:S16"/>
  <sheetViews>
    <sheetView topLeftCell="B12" zoomScale="130" zoomScaleNormal="130" workbookViewId="0">
      <selection activeCell="K22" sqref="K22"/>
    </sheetView>
  </sheetViews>
  <sheetFormatPr defaultRowHeight="14.4" x14ac:dyDescent="0.3"/>
  <cols>
    <col min="10" max="10" width="7.77734375" customWidth="1"/>
    <col min="11" max="11" width="19.88671875" style="16" customWidth="1"/>
    <col min="12" max="12" width="10.6640625" style="16" customWidth="1"/>
    <col min="13" max="13" width="13" style="16" customWidth="1"/>
    <col min="14" max="14" width="8.77734375" style="16" bestFit="1" customWidth="1"/>
    <col min="15" max="15" width="20.77734375" style="16" bestFit="1" customWidth="1"/>
    <col min="16" max="16" width="19.88671875" style="16" bestFit="1" customWidth="1"/>
    <col min="17" max="17" width="18.77734375" style="16" bestFit="1" customWidth="1"/>
    <col min="18" max="18" width="25.109375" style="16" bestFit="1" customWidth="1"/>
    <col min="19" max="19" width="8.88671875" style="16"/>
  </cols>
  <sheetData>
    <row r="1" spans="2:18" ht="15" thickBot="1" x14ac:dyDescent="0.35"/>
    <row r="2" spans="2:18" ht="16.2" thickBot="1" x14ac:dyDescent="0.35">
      <c r="B2" s="139" t="s">
        <v>64</v>
      </c>
      <c r="C2" s="140"/>
      <c r="D2" s="140"/>
      <c r="E2" s="140"/>
      <c r="F2" s="140"/>
      <c r="G2" s="140"/>
      <c r="H2" s="140"/>
      <c r="I2" s="141"/>
      <c r="K2" s="142" t="s">
        <v>65</v>
      </c>
      <c r="L2" s="143"/>
      <c r="M2" s="143"/>
      <c r="N2" s="143"/>
      <c r="O2" s="143"/>
      <c r="P2" s="143"/>
      <c r="Q2" s="143"/>
      <c r="R2" s="144"/>
    </row>
    <row r="3" spans="2:18" ht="15" thickBot="1" x14ac:dyDescent="0.35">
      <c r="K3" s="28" t="s">
        <v>57</v>
      </c>
      <c r="L3" s="29" t="s">
        <v>53</v>
      </c>
      <c r="M3" s="30" t="s">
        <v>54</v>
      </c>
      <c r="N3" s="29" t="s">
        <v>26</v>
      </c>
      <c r="O3" s="30" t="s">
        <v>58</v>
      </c>
      <c r="P3" s="29" t="s">
        <v>59</v>
      </c>
      <c r="Q3" s="30" t="s">
        <v>60</v>
      </c>
      <c r="R3" s="29" t="s">
        <v>61</v>
      </c>
    </row>
    <row r="4" spans="2:18" ht="25.05" customHeight="1" x14ac:dyDescent="0.3">
      <c r="K4" s="17" t="s">
        <v>3</v>
      </c>
      <c r="L4" s="18" t="s">
        <v>21</v>
      </c>
      <c r="M4" s="19" t="s">
        <v>24</v>
      </c>
      <c r="N4" s="18" t="s">
        <v>26</v>
      </c>
      <c r="O4" s="20" t="s">
        <v>23</v>
      </c>
      <c r="P4" s="18" t="s">
        <v>20</v>
      </c>
      <c r="Q4" s="20" t="s">
        <v>17</v>
      </c>
      <c r="R4" s="21" t="s">
        <v>16</v>
      </c>
    </row>
    <row r="5" spans="2:18" ht="25.05" customHeight="1" x14ac:dyDescent="0.3">
      <c r="K5" s="17" t="s">
        <v>4</v>
      </c>
      <c r="L5" s="18"/>
      <c r="M5" s="20"/>
      <c r="N5" s="18"/>
      <c r="O5" s="19" t="s">
        <v>27</v>
      </c>
      <c r="P5" s="22" t="s">
        <v>22</v>
      </c>
      <c r="Q5" s="20" t="s">
        <v>18</v>
      </c>
      <c r="R5" s="21" t="s">
        <v>25</v>
      </c>
    </row>
    <row r="6" spans="2:18" ht="25.05" customHeight="1" x14ac:dyDescent="0.3">
      <c r="K6" s="17" t="s">
        <v>5</v>
      </c>
      <c r="L6" s="18"/>
      <c r="M6" s="20"/>
      <c r="N6" s="18"/>
      <c r="O6" s="20"/>
      <c r="P6" s="18"/>
      <c r="Q6" s="20" t="s">
        <v>19</v>
      </c>
      <c r="R6" s="21" t="s">
        <v>28</v>
      </c>
    </row>
    <row r="7" spans="2:18" ht="25.05" customHeight="1" x14ac:dyDescent="0.3">
      <c r="K7" s="17" t="s">
        <v>6</v>
      </c>
      <c r="L7" s="18"/>
      <c r="M7" s="20"/>
      <c r="N7" s="18"/>
      <c r="O7" s="20"/>
      <c r="P7" s="18"/>
      <c r="Q7" s="20"/>
      <c r="R7" s="21"/>
    </row>
    <row r="8" spans="2:18" ht="25.05" customHeight="1" x14ac:dyDescent="0.3">
      <c r="K8" s="17" t="s">
        <v>7</v>
      </c>
      <c r="L8" s="18"/>
      <c r="M8" s="20"/>
      <c r="N8" s="18"/>
      <c r="O8" s="20"/>
      <c r="P8" s="18"/>
      <c r="Q8" s="20"/>
      <c r="R8" s="21"/>
    </row>
    <row r="9" spans="2:18" ht="25.05" customHeight="1" x14ac:dyDescent="0.3">
      <c r="K9" s="17" t="s">
        <v>8</v>
      </c>
      <c r="L9" s="18"/>
      <c r="M9" s="20"/>
      <c r="N9" s="18"/>
      <c r="O9" s="20"/>
      <c r="P9" s="18"/>
      <c r="Q9" s="20"/>
      <c r="R9" s="21"/>
    </row>
    <row r="10" spans="2:18" ht="25.05" customHeight="1" x14ac:dyDescent="0.3">
      <c r="K10" s="17" t="s">
        <v>9</v>
      </c>
      <c r="L10" s="18"/>
      <c r="M10" s="20"/>
      <c r="N10" s="18"/>
      <c r="O10" s="20"/>
      <c r="P10" s="18"/>
      <c r="Q10" s="20"/>
      <c r="R10" s="21"/>
    </row>
    <row r="11" spans="2:18" ht="25.05" customHeight="1" x14ac:dyDescent="0.3">
      <c r="K11" s="17" t="s">
        <v>10</v>
      </c>
      <c r="L11" s="18"/>
      <c r="M11" s="20"/>
      <c r="N11" s="18"/>
      <c r="O11" s="20"/>
      <c r="P11" s="18"/>
      <c r="Q11" s="20"/>
      <c r="R11" s="21"/>
    </row>
    <row r="12" spans="2:18" ht="25.05" customHeight="1" x14ac:dyDescent="0.3">
      <c r="K12" s="17" t="s">
        <v>11</v>
      </c>
      <c r="L12" s="18"/>
      <c r="M12" s="20"/>
      <c r="N12" s="18"/>
      <c r="O12" s="20"/>
      <c r="P12" s="18"/>
      <c r="Q12" s="20"/>
      <c r="R12" s="21"/>
    </row>
    <row r="13" spans="2:18" ht="25.05" customHeight="1" x14ac:dyDescent="0.3">
      <c r="K13" s="17" t="s">
        <v>12</v>
      </c>
      <c r="L13" s="18"/>
      <c r="M13" s="20"/>
      <c r="N13" s="18"/>
      <c r="O13" s="20"/>
      <c r="P13" s="18"/>
      <c r="Q13" s="20"/>
      <c r="R13" s="21"/>
    </row>
    <row r="14" spans="2:18" ht="25.05" customHeight="1" x14ac:dyDescent="0.3">
      <c r="K14" s="17" t="s">
        <v>13</v>
      </c>
      <c r="L14" s="18"/>
      <c r="M14" s="20"/>
      <c r="N14" s="18"/>
      <c r="O14" s="20"/>
      <c r="P14" s="18"/>
      <c r="Q14" s="20"/>
      <c r="R14" s="21"/>
    </row>
    <row r="15" spans="2:18" ht="25.05" customHeight="1" x14ac:dyDescent="0.3">
      <c r="K15" s="23" t="s">
        <v>14</v>
      </c>
      <c r="L15" s="18"/>
      <c r="M15" s="20"/>
      <c r="N15" s="18"/>
      <c r="O15" s="20"/>
      <c r="P15" s="18"/>
      <c r="Q15" s="20"/>
      <c r="R15" s="21"/>
    </row>
    <row r="16" spans="2:18" ht="25.05" customHeight="1" thickBot="1" x14ac:dyDescent="0.35">
      <c r="K16" s="24" t="s">
        <v>15</v>
      </c>
      <c r="L16" s="25"/>
      <c r="M16" s="26"/>
      <c r="N16" s="25"/>
      <c r="O16" s="26"/>
      <c r="P16" s="25"/>
      <c r="Q16" s="26"/>
      <c r="R16" s="27"/>
    </row>
  </sheetData>
  <mergeCells count="2">
    <mergeCell ref="B2:I2"/>
    <mergeCell ref="K2:R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9AFDF-EEC9-4C1C-8DAC-B20C808A6F4C}">
  <dimension ref="A1:AD378"/>
  <sheetViews>
    <sheetView zoomScaleNormal="100" workbookViewId="0">
      <pane ySplit="1" topLeftCell="A2" activePane="bottomLeft" state="frozen"/>
      <selection pane="bottomLeft" sqref="A1:AD1"/>
    </sheetView>
  </sheetViews>
  <sheetFormatPr defaultRowHeight="14.4" x14ac:dyDescent="0.3"/>
  <cols>
    <col min="2" max="2" width="10.33203125" style="3" bestFit="1" customWidth="1"/>
    <col min="4" max="4" width="20.44140625" style="5" customWidth="1"/>
    <col min="5" max="5" width="13.77734375" style="5" customWidth="1"/>
    <col min="6" max="6" width="14.6640625" style="5" bestFit="1" customWidth="1"/>
    <col min="7" max="7" width="17.6640625" style="5" customWidth="1"/>
    <col min="8" max="8" width="13.109375" style="5" customWidth="1"/>
    <col min="9" max="9" width="14.6640625" style="5" bestFit="1" customWidth="1"/>
    <col min="10" max="10" width="12.109375" style="5" customWidth="1"/>
    <col min="11" max="11" width="19.5546875" style="5" customWidth="1"/>
    <col min="12" max="12" width="22.88671875" style="5" customWidth="1"/>
    <col min="13" max="13" width="14.6640625" style="5" bestFit="1" customWidth="1"/>
    <col min="14" max="14" width="23.33203125" style="5" customWidth="1"/>
    <col min="15" max="15" width="32.88671875" style="5" customWidth="1"/>
    <col min="16" max="16" width="19.21875" style="5" customWidth="1"/>
    <col min="17" max="17" width="26.6640625" style="5" customWidth="1"/>
    <col min="18" max="18" width="9.77734375" style="5" customWidth="1"/>
    <col min="19" max="19" width="10.5546875" style="5" customWidth="1"/>
    <col min="20" max="20" width="20.77734375" style="5" customWidth="1"/>
    <col min="21" max="21" width="9.5546875" style="5" customWidth="1"/>
    <col min="22" max="22" width="13.88671875" style="5" customWidth="1"/>
    <col min="23" max="23" width="27.6640625" style="5" customWidth="1"/>
    <col min="24" max="24" width="14.6640625" style="5" bestFit="1" customWidth="1"/>
    <col min="25" max="25" width="27.6640625" style="5" customWidth="1"/>
    <col min="26" max="26" width="25.5546875" style="5" customWidth="1"/>
    <col min="27" max="27" width="11.21875" style="5" customWidth="1"/>
    <col min="28" max="28" width="23.5546875" style="5" customWidth="1"/>
    <col min="29" max="29" width="14.77734375" style="5" customWidth="1"/>
    <col min="30" max="30" width="14.33203125" style="5" customWidth="1"/>
  </cols>
  <sheetData>
    <row r="1" spans="1:30" x14ac:dyDescent="0.3">
      <c r="A1" t="s">
        <v>0</v>
      </c>
      <c r="B1" s="3" t="s">
        <v>1</v>
      </c>
      <c r="C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</row>
    <row r="2" spans="1:30" x14ac:dyDescent="0.3">
      <c r="A2" t="s">
        <v>30</v>
      </c>
      <c r="B2" s="3">
        <v>2013</v>
      </c>
      <c r="C2" t="s">
        <v>31</v>
      </c>
      <c r="D2" s="5">
        <v>107.5</v>
      </c>
      <c r="E2" s="5">
        <v>106.3</v>
      </c>
      <c r="F2" s="5">
        <v>108.1</v>
      </c>
      <c r="G2" s="5">
        <v>104.9</v>
      </c>
      <c r="H2" s="5">
        <v>106.1</v>
      </c>
      <c r="I2" s="5">
        <v>103.9</v>
      </c>
      <c r="J2" s="5">
        <v>101.9</v>
      </c>
      <c r="K2" s="5">
        <v>106.1</v>
      </c>
      <c r="L2" s="5">
        <v>106.8</v>
      </c>
      <c r="M2" s="5">
        <v>103.1</v>
      </c>
      <c r="N2" s="5">
        <v>104.8</v>
      </c>
      <c r="O2" s="5">
        <v>106.7</v>
      </c>
      <c r="P2" s="5">
        <v>105.5</v>
      </c>
      <c r="Q2" s="5">
        <v>105.1</v>
      </c>
      <c r="R2" s="5">
        <v>106.5</v>
      </c>
      <c r="S2" s="5">
        <v>105.8</v>
      </c>
      <c r="T2" s="5">
        <v>106.4</v>
      </c>
      <c r="U2" s="5" t="s">
        <v>32</v>
      </c>
      <c r="V2" s="5">
        <v>105.5</v>
      </c>
      <c r="W2" s="5">
        <v>104.8</v>
      </c>
      <c r="X2" s="5">
        <v>104</v>
      </c>
      <c r="Y2" s="5">
        <v>103.3</v>
      </c>
      <c r="Z2" s="5">
        <v>103.4</v>
      </c>
      <c r="AA2" s="5">
        <v>103.8</v>
      </c>
      <c r="AB2" s="5">
        <v>104.7</v>
      </c>
      <c r="AC2" s="5">
        <v>104</v>
      </c>
      <c r="AD2" s="5">
        <v>105.1</v>
      </c>
    </row>
    <row r="3" spans="1:30" x14ac:dyDescent="0.3">
      <c r="A3" t="s">
        <v>33</v>
      </c>
      <c r="B3" s="3">
        <v>2013</v>
      </c>
      <c r="C3" t="s">
        <v>31</v>
      </c>
      <c r="D3" s="5">
        <v>110.5</v>
      </c>
      <c r="E3" s="5">
        <v>109.1</v>
      </c>
      <c r="F3" s="5">
        <v>113</v>
      </c>
      <c r="G3" s="5">
        <v>103.6</v>
      </c>
      <c r="H3" s="5">
        <v>103.4</v>
      </c>
      <c r="I3" s="5">
        <v>102.3</v>
      </c>
      <c r="J3" s="5">
        <v>102.9</v>
      </c>
      <c r="K3" s="5">
        <v>105.8</v>
      </c>
      <c r="L3" s="5">
        <v>105.1</v>
      </c>
      <c r="M3" s="5">
        <v>101.8</v>
      </c>
      <c r="N3" s="5">
        <v>105.1</v>
      </c>
      <c r="O3" s="5">
        <v>107.9</v>
      </c>
      <c r="P3" s="5">
        <v>105.9</v>
      </c>
      <c r="Q3" s="5">
        <v>105.2</v>
      </c>
      <c r="R3" s="5">
        <v>105.9</v>
      </c>
      <c r="S3" s="5">
        <v>105</v>
      </c>
      <c r="T3" s="5">
        <v>105.8</v>
      </c>
      <c r="U3" s="5">
        <v>100.3</v>
      </c>
      <c r="V3" s="5">
        <v>105.4</v>
      </c>
      <c r="W3" s="5">
        <v>104.8</v>
      </c>
      <c r="X3" s="5">
        <v>104.1</v>
      </c>
      <c r="Y3" s="5">
        <v>103.2</v>
      </c>
      <c r="Z3" s="5">
        <v>102.9</v>
      </c>
      <c r="AA3" s="5">
        <v>103.5</v>
      </c>
      <c r="AB3" s="5">
        <v>104.3</v>
      </c>
      <c r="AC3" s="5">
        <v>103.7</v>
      </c>
      <c r="AD3" s="5">
        <v>104</v>
      </c>
    </row>
    <row r="4" spans="1:30" x14ac:dyDescent="0.3">
      <c r="A4" t="s">
        <v>34</v>
      </c>
      <c r="B4" s="3">
        <v>2013</v>
      </c>
      <c r="C4" t="s">
        <v>31</v>
      </c>
      <c r="D4" s="5">
        <v>108.4</v>
      </c>
      <c r="E4" s="5">
        <v>107.3</v>
      </c>
      <c r="F4" s="5">
        <v>110</v>
      </c>
      <c r="G4" s="5">
        <v>104.4</v>
      </c>
      <c r="H4" s="5">
        <v>105.1</v>
      </c>
      <c r="I4" s="5">
        <v>103.2</v>
      </c>
      <c r="J4" s="5">
        <v>102.2</v>
      </c>
      <c r="K4" s="5">
        <v>106</v>
      </c>
      <c r="L4" s="5">
        <v>106.2</v>
      </c>
      <c r="M4" s="5">
        <v>102.7</v>
      </c>
      <c r="N4" s="5">
        <v>104.9</v>
      </c>
      <c r="O4" s="5">
        <v>107.3</v>
      </c>
      <c r="P4" s="5">
        <v>105.6</v>
      </c>
      <c r="Q4" s="5">
        <v>105.1</v>
      </c>
      <c r="R4" s="5">
        <v>106.3</v>
      </c>
      <c r="S4" s="5">
        <v>105.5</v>
      </c>
      <c r="T4" s="5">
        <v>106.2</v>
      </c>
      <c r="U4" s="5">
        <v>100.3</v>
      </c>
      <c r="V4" s="5">
        <v>105.5</v>
      </c>
      <c r="W4" s="5">
        <v>104.8</v>
      </c>
      <c r="X4" s="5">
        <v>104</v>
      </c>
      <c r="Y4" s="5">
        <v>103.2</v>
      </c>
      <c r="Z4" s="5">
        <v>103.1</v>
      </c>
      <c r="AA4" s="5">
        <v>103.6</v>
      </c>
      <c r="AB4" s="5">
        <v>104.5</v>
      </c>
      <c r="AC4" s="5">
        <v>103.9</v>
      </c>
      <c r="AD4" s="5">
        <v>104.6</v>
      </c>
    </row>
    <row r="5" spans="1:30" x14ac:dyDescent="0.3">
      <c r="A5" t="s">
        <v>30</v>
      </c>
      <c r="B5" s="3">
        <v>2013</v>
      </c>
      <c r="C5" t="s">
        <v>35</v>
      </c>
      <c r="D5" s="5">
        <v>109.2</v>
      </c>
      <c r="E5" s="5">
        <v>108.7</v>
      </c>
      <c r="F5" s="5">
        <v>110.2</v>
      </c>
      <c r="G5" s="5">
        <v>105.4</v>
      </c>
      <c r="H5" s="5">
        <v>106.7</v>
      </c>
      <c r="I5" s="5">
        <v>104</v>
      </c>
      <c r="J5" s="5">
        <v>102.4</v>
      </c>
      <c r="K5" s="5">
        <v>105.9</v>
      </c>
      <c r="L5" s="5">
        <v>105.7</v>
      </c>
      <c r="M5" s="5">
        <v>103.1</v>
      </c>
      <c r="N5" s="5">
        <v>105.1</v>
      </c>
      <c r="O5" s="5">
        <v>107.7</v>
      </c>
      <c r="P5" s="5">
        <v>106.3</v>
      </c>
      <c r="Q5" s="5">
        <v>105.6</v>
      </c>
      <c r="R5" s="5">
        <v>107.1</v>
      </c>
      <c r="S5" s="5">
        <v>106.3</v>
      </c>
      <c r="T5" s="5">
        <v>107</v>
      </c>
      <c r="U5" s="5" t="s">
        <v>32</v>
      </c>
      <c r="V5" s="5">
        <v>106.2</v>
      </c>
      <c r="W5" s="5">
        <v>105.2</v>
      </c>
      <c r="X5" s="5">
        <v>104.4</v>
      </c>
      <c r="Y5" s="5">
        <v>103.9</v>
      </c>
      <c r="Z5" s="5">
        <v>104</v>
      </c>
      <c r="AA5" s="5">
        <v>104.1</v>
      </c>
      <c r="AB5" s="5">
        <v>104.6</v>
      </c>
      <c r="AC5" s="5">
        <v>104.4</v>
      </c>
      <c r="AD5" s="5">
        <v>105.8</v>
      </c>
    </row>
    <row r="6" spans="1:30" x14ac:dyDescent="0.3">
      <c r="A6" t="s">
        <v>33</v>
      </c>
      <c r="B6" s="3">
        <v>2013</v>
      </c>
      <c r="C6" t="s">
        <v>35</v>
      </c>
      <c r="D6" s="5">
        <v>112.9</v>
      </c>
      <c r="E6" s="5">
        <v>112.9</v>
      </c>
      <c r="F6" s="5">
        <v>116.9</v>
      </c>
      <c r="G6" s="5">
        <v>104</v>
      </c>
      <c r="H6" s="5">
        <v>103.5</v>
      </c>
      <c r="I6" s="5">
        <v>103.1</v>
      </c>
      <c r="J6" s="5">
        <v>104.9</v>
      </c>
      <c r="K6" s="5">
        <v>104.1</v>
      </c>
      <c r="L6" s="5">
        <v>103.8</v>
      </c>
      <c r="M6" s="5">
        <v>102.3</v>
      </c>
      <c r="N6" s="5">
        <v>106</v>
      </c>
      <c r="O6" s="5">
        <v>109</v>
      </c>
      <c r="P6" s="5">
        <v>107.2</v>
      </c>
      <c r="Q6" s="5">
        <v>106</v>
      </c>
      <c r="R6" s="5">
        <v>106.6</v>
      </c>
      <c r="S6" s="5">
        <v>105.5</v>
      </c>
      <c r="T6" s="5">
        <v>106.4</v>
      </c>
      <c r="U6" s="5">
        <v>100.4</v>
      </c>
      <c r="V6" s="5">
        <v>105.7</v>
      </c>
      <c r="W6" s="5">
        <v>105.2</v>
      </c>
      <c r="X6" s="5">
        <v>104.7</v>
      </c>
      <c r="Y6" s="5">
        <v>104.4</v>
      </c>
      <c r="Z6" s="5">
        <v>103.3</v>
      </c>
      <c r="AA6" s="5">
        <v>103.7</v>
      </c>
      <c r="AB6" s="5">
        <v>104.3</v>
      </c>
      <c r="AC6" s="5">
        <v>104.3</v>
      </c>
      <c r="AD6" s="5">
        <v>104.7</v>
      </c>
    </row>
    <row r="7" spans="1:30" x14ac:dyDescent="0.3">
      <c r="A7" t="s">
        <v>34</v>
      </c>
      <c r="B7" s="3">
        <v>2013</v>
      </c>
      <c r="C7" t="s">
        <v>35</v>
      </c>
      <c r="D7" s="5">
        <v>110.4</v>
      </c>
      <c r="E7" s="5">
        <v>110.2</v>
      </c>
      <c r="F7" s="5">
        <v>112.8</v>
      </c>
      <c r="G7" s="5">
        <v>104.9</v>
      </c>
      <c r="H7" s="5">
        <v>105.5</v>
      </c>
      <c r="I7" s="5">
        <v>103.6</v>
      </c>
      <c r="J7" s="5">
        <v>103.2</v>
      </c>
      <c r="K7" s="5">
        <v>105.3</v>
      </c>
      <c r="L7" s="5">
        <v>105.1</v>
      </c>
      <c r="M7" s="5">
        <v>102.8</v>
      </c>
      <c r="N7" s="5">
        <v>105.5</v>
      </c>
      <c r="O7" s="5">
        <v>108.3</v>
      </c>
      <c r="P7" s="5">
        <v>106.6</v>
      </c>
      <c r="Q7" s="5">
        <v>105.7</v>
      </c>
      <c r="R7" s="5">
        <v>106.9</v>
      </c>
      <c r="S7" s="5">
        <v>106</v>
      </c>
      <c r="T7" s="5">
        <v>106.8</v>
      </c>
      <c r="U7" s="5">
        <v>100.4</v>
      </c>
      <c r="V7" s="5">
        <v>106</v>
      </c>
      <c r="W7" s="5">
        <v>105.2</v>
      </c>
      <c r="X7" s="5">
        <v>104.5</v>
      </c>
      <c r="Y7" s="5">
        <v>104.2</v>
      </c>
      <c r="Z7" s="5">
        <v>103.6</v>
      </c>
      <c r="AA7" s="5">
        <v>103.9</v>
      </c>
      <c r="AB7" s="5">
        <v>104.5</v>
      </c>
      <c r="AC7" s="5">
        <v>104.4</v>
      </c>
      <c r="AD7" s="5">
        <v>105.3</v>
      </c>
    </row>
    <row r="8" spans="1:30" x14ac:dyDescent="0.3">
      <c r="A8" t="s">
        <v>30</v>
      </c>
      <c r="B8" s="3">
        <v>2013</v>
      </c>
      <c r="C8" t="s">
        <v>36</v>
      </c>
      <c r="D8" s="5">
        <v>110.2</v>
      </c>
      <c r="E8" s="5">
        <v>108.8</v>
      </c>
      <c r="F8" s="5">
        <v>109.9</v>
      </c>
      <c r="G8" s="5">
        <v>105.6</v>
      </c>
      <c r="H8" s="5">
        <v>106.2</v>
      </c>
      <c r="I8" s="5">
        <v>105.7</v>
      </c>
      <c r="J8" s="5">
        <v>101.4</v>
      </c>
      <c r="K8" s="5">
        <v>105.7</v>
      </c>
      <c r="L8" s="5">
        <v>105</v>
      </c>
      <c r="M8" s="5">
        <v>103.3</v>
      </c>
      <c r="N8" s="5">
        <v>105.6</v>
      </c>
      <c r="O8" s="5">
        <v>108.2</v>
      </c>
      <c r="P8" s="5">
        <v>106.6</v>
      </c>
      <c r="Q8" s="5">
        <v>106.5</v>
      </c>
      <c r="R8" s="5">
        <v>107.6</v>
      </c>
      <c r="S8" s="5">
        <v>106.8</v>
      </c>
      <c r="T8" s="5">
        <v>107.5</v>
      </c>
      <c r="U8" s="5" t="s">
        <v>32</v>
      </c>
      <c r="V8" s="5">
        <v>106.1</v>
      </c>
      <c r="W8" s="5">
        <v>105.6</v>
      </c>
      <c r="X8" s="5">
        <v>104.7</v>
      </c>
      <c r="Y8" s="5">
        <v>104.6</v>
      </c>
      <c r="Z8" s="5">
        <v>104</v>
      </c>
      <c r="AA8" s="5">
        <v>104.3</v>
      </c>
      <c r="AB8" s="5">
        <v>104.3</v>
      </c>
      <c r="AC8" s="5">
        <v>104.6</v>
      </c>
      <c r="AD8" s="5">
        <v>106</v>
      </c>
    </row>
    <row r="9" spans="1:30" x14ac:dyDescent="0.3">
      <c r="A9" t="s">
        <v>33</v>
      </c>
      <c r="B9" s="3">
        <v>2013</v>
      </c>
      <c r="C9" t="s">
        <v>36</v>
      </c>
      <c r="D9" s="5">
        <v>113.9</v>
      </c>
      <c r="E9" s="5">
        <v>111.4</v>
      </c>
      <c r="F9" s="5">
        <v>113.2</v>
      </c>
      <c r="G9" s="5">
        <v>104.3</v>
      </c>
      <c r="H9" s="5">
        <v>102.7</v>
      </c>
      <c r="I9" s="5">
        <v>104.9</v>
      </c>
      <c r="J9" s="5">
        <v>103.8</v>
      </c>
      <c r="K9" s="5">
        <v>103.5</v>
      </c>
      <c r="L9" s="5">
        <v>102.6</v>
      </c>
      <c r="M9" s="5">
        <v>102.4</v>
      </c>
      <c r="N9" s="5">
        <v>107</v>
      </c>
      <c r="O9" s="5">
        <v>109.8</v>
      </c>
      <c r="P9" s="5">
        <v>107.3</v>
      </c>
      <c r="Q9" s="5">
        <v>106.8</v>
      </c>
      <c r="R9" s="5">
        <v>107.2</v>
      </c>
      <c r="S9" s="5">
        <v>106</v>
      </c>
      <c r="T9" s="5">
        <v>107</v>
      </c>
      <c r="U9" s="5">
        <v>100.4</v>
      </c>
      <c r="V9" s="5">
        <v>106</v>
      </c>
      <c r="W9" s="5">
        <v>105.7</v>
      </c>
      <c r="X9" s="5">
        <v>105.2</v>
      </c>
      <c r="Y9" s="5">
        <v>105.5</v>
      </c>
      <c r="Z9" s="5">
        <v>103.5</v>
      </c>
      <c r="AA9" s="5">
        <v>103.8</v>
      </c>
      <c r="AB9" s="5">
        <v>104.2</v>
      </c>
      <c r="AC9" s="5">
        <v>104.9</v>
      </c>
      <c r="AD9" s="5">
        <v>105</v>
      </c>
    </row>
    <row r="10" spans="1:30" x14ac:dyDescent="0.3">
      <c r="A10" t="s">
        <v>34</v>
      </c>
      <c r="B10" s="3">
        <v>2013</v>
      </c>
      <c r="C10" t="s">
        <v>36</v>
      </c>
      <c r="D10" s="5">
        <v>111.4</v>
      </c>
      <c r="E10" s="5">
        <v>109.7</v>
      </c>
      <c r="F10" s="5">
        <v>111.2</v>
      </c>
      <c r="G10" s="5">
        <v>105.1</v>
      </c>
      <c r="H10" s="5">
        <v>104.9</v>
      </c>
      <c r="I10" s="5">
        <v>105.3</v>
      </c>
      <c r="J10" s="5">
        <v>102.2</v>
      </c>
      <c r="K10" s="5">
        <v>105</v>
      </c>
      <c r="L10" s="5">
        <v>104.2</v>
      </c>
      <c r="M10" s="5">
        <v>103</v>
      </c>
      <c r="N10" s="5">
        <v>106.2</v>
      </c>
      <c r="O10" s="5">
        <v>108.9</v>
      </c>
      <c r="P10" s="5">
        <v>106.9</v>
      </c>
      <c r="Q10" s="5">
        <v>106.6</v>
      </c>
      <c r="R10" s="5">
        <v>107.4</v>
      </c>
      <c r="S10" s="5">
        <v>106.5</v>
      </c>
      <c r="T10" s="5">
        <v>107.3</v>
      </c>
      <c r="U10" s="5">
        <v>100.4</v>
      </c>
      <c r="V10" s="5">
        <v>106.1</v>
      </c>
      <c r="W10" s="5">
        <v>105.6</v>
      </c>
      <c r="X10" s="5">
        <v>104.9</v>
      </c>
      <c r="Y10" s="5">
        <v>105.1</v>
      </c>
      <c r="Z10" s="5">
        <v>103.7</v>
      </c>
      <c r="AA10" s="5">
        <v>104</v>
      </c>
      <c r="AB10" s="5">
        <v>104.3</v>
      </c>
      <c r="AC10" s="5">
        <v>104.7</v>
      </c>
      <c r="AD10" s="5">
        <v>105.5</v>
      </c>
    </row>
    <row r="11" spans="1:30" x14ac:dyDescent="0.3">
      <c r="A11" t="s">
        <v>30</v>
      </c>
      <c r="B11" s="3">
        <v>2013</v>
      </c>
      <c r="C11" t="s">
        <v>37</v>
      </c>
      <c r="D11" s="5">
        <v>110.2</v>
      </c>
      <c r="E11" s="5">
        <v>109.5</v>
      </c>
      <c r="F11" s="5">
        <v>106.9</v>
      </c>
      <c r="G11" s="5">
        <v>106.3</v>
      </c>
      <c r="H11" s="5">
        <v>105.7</v>
      </c>
      <c r="I11" s="5">
        <v>108.3</v>
      </c>
      <c r="J11" s="5">
        <v>103.4</v>
      </c>
      <c r="K11" s="5">
        <v>105.7</v>
      </c>
      <c r="L11" s="5">
        <v>104.2</v>
      </c>
      <c r="M11" s="5">
        <v>103.2</v>
      </c>
      <c r="N11" s="5">
        <v>106.5</v>
      </c>
      <c r="O11" s="5">
        <v>108.8</v>
      </c>
      <c r="P11" s="5">
        <v>107.1</v>
      </c>
      <c r="Q11" s="5">
        <v>107.1</v>
      </c>
      <c r="R11" s="5">
        <v>108.1</v>
      </c>
      <c r="S11" s="5">
        <v>107.4</v>
      </c>
      <c r="T11" s="5">
        <v>108</v>
      </c>
      <c r="U11" s="5" t="s">
        <v>32</v>
      </c>
      <c r="V11" s="5">
        <v>106.5</v>
      </c>
      <c r="W11" s="5">
        <v>106.1</v>
      </c>
      <c r="X11" s="5">
        <v>105.1</v>
      </c>
      <c r="Y11" s="5">
        <v>104.4</v>
      </c>
      <c r="Z11" s="5">
        <v>104.5</v>
      </c>
      <c r="AA11" s="5">
        <v>104.8</v>
      </c>
      <c r="AB11" s="5">
        <v>102.7</v>
      </c>
      <c r="AC11" s="5">
        <v>104.6</v>
      </c>
      <c r="AD11" s="5">
        <v>106.4</v>
      </c>
    </row>
    <row r="12" spans="1:30" x14ac:dyDescent="0.3">
      <c r="A12" t="s">
        <v>33</v>
      </c>
      <c r="B12" s="3">
        <v>2013</v>
      </c>
      <c r="C12" t="s">
        <v>37</v>
      </c>
      <c r="D12" s="5">
        <v>114.6</v>
      </c>
      <c r="E12" s="5">
        <v>113.4</v>
      </c>
      <c r="F12" s="5">
        <v>106</v>
      </c>
      <c r="G12" s="5">
        <v>104.7</v>
      </c>
      <c r="H12" s="5">
        <v>102.1</v>
      </c>
      <c r="I12" s="5">
        <v>109.5</v>
      </c>
      <c r="J12" s="5">
        <v>109.7</v>
      </c>
      <c r="K12" s="5">
        <v>104.6</v>
      </c>
      <c r="L12" s="5">
        <v>102</v>
      </c>
      <c r="M12" s="5">
        <v>103.5</v>
      </c>
      <c r="N12" s="5">
        <v>108.2</v>
      </c>
      <c r="O12" s="5">
        <v>110.6</v>
      </c>
      <c r="P12" s="5">
        <v>108.8</v>
      </c>
      <c r="Q12" s="5">
        <v>108.5</v>
      </c>
      <c r="R12" s="5">
        <v>107.9</v>
      </c>
      <c r="S12" s="5">
        <v>106.4</v>
      </c>
      <c r="T12" s="5">
        <v>107.7</v>
      </c>
      <c r="U12" s="5">
        <v>100.5</v>
      </c>
      <c r="V12" s="5">
        <v>106.4</v>
      </c>
      <c r="W12" s="5">
        <v>106.5</v>
      </c>
      <c r="X12" s="5">
        <v>105.7</v>
      </c>
      <c r="Y12" s="5">
        <v>105</v>
      </c>
      <c r="Z12" s="5">
        <v>104</v>
      </c>
      <c r="AA12" s="5">
        <v>105.2</v>
      </c>
      <c r="AB12" s="5">
        <v>103.2</v>
      </c>
      <c r="AC12" s="5">
        <v>105.1</v>
      </c>
      <c r="AD12" s="5">
        <v>105.7</v>
      </c>
    </row>
    <row r="13" spans="1:30" x14ac:dyDescent="0.3">
      <c r="A13" t="s">
        <v>34</v>
      </c>
      <c r="B13" s="3">
        <v>2013</v>
      </c>
      <c r="C13" t="s">
        <v>37</v>
      </c>
      <c r="D13" s="5">
        <v>111.6</v>
      </c>
      <c r="E13" s="5">
        <v>110.9</v>
      </c>
      <c r="F13" s="5">
        <v>106.6</v>
      </c>
      <c r="G13" s="5">
        <v>105.7</v>
      </c>
      <c r="H13" s="5">
        <v>104.4</v>
      </c>
      <c r="I13" s="5">
        <v>108.9</v>
      </c>
      <c r="J13" s="5">
        <v>105.5</v>
      </c>
      <c r="K13" s="5">
        <v>105.3</v>
      </c>
      <c r="L13" s="5">
        <v>103.5</v>
      </c>
      <c r="M13" s="5">
        <v>103.3</v>
      </c>
      <c r="N13" s="5">
        <v>107.2</v>
      </c>
      <c r="O13" s="5">
        <v>109.6</v>
      </c>
      <c r="P13" s="5">
        <v>107.7</v>
      </c>
      <c r="Q13" s="5">
        <v>107.5</v>
      </c>
      <c r="R13" s="5">
        <v>108</v>
      </c>
      <c r="S13" s="5">
        <v>107</v>
      </c>
      <c r="T13" s="5">
        <v>107.9</v>
      </c>
      <c r="U13" s="5">
        <v>100.5</v>
      </c>
      <c r="V13" s="5">
        <v>106.5</v>
      </c>
      <c r="W13" s="5">
        <v>106.3</v>
      </c>
      <c r="X13" s="5">
        <v>105.3</v>
      </c>
      <c r="Y13" s="5">
        <v>104.7</v>
      </c>
      <c r="Z13" s="5">
        <v>104.2</v>
      </c>
      <c r="AA13" s="5">
        <v>105</v>
      </c>
      <c r="AB13" s="5">
        <v>102.9</v>
      </c>
      <c r="AC13" s="5">
        <v>104.8</v>
      </c>
      <c r="AD13" s="5">
        <v>106.1</v>
      </c>
    </row>
    <row r="14" spans="1:30" x14ac:dyDescent="0.3">
      <c r="A14" t="s">
        <v>30</v>
      </c>
      <c r="B14" s="3">
        <v>2013</v>
      </c>
      <c r="C14" t="s">
        <v>38</v>
      </c>
      <c r="D14" s="5">
        <v>110.9</v>
      </c>
      <c r="E14" s="5">
        <v>109.8</v>
      </c>
      <c r="F14" s="5">
        <v>105.9</v>
      </c>
      <c r="G14" s="5">
        <v>107.5</v>
      </c>
      <c r="H14" s="5">
        <v>105.3</v>
      </c>
      <c r="I14" s="5">
        <v>108.1</v>
      </c>
      <c r="J14" s="5">
        <v>107.3</v>
      </c>
      <c r="K14" s="5">
        <v>106.1</v>
      </c>
      <c r="L14" s="5">
        <v>103.7</v>
      </c>
      <c r="M14" s="5">
        <v>104</v>
      </c>
      <c r="N14" s="5">
        <v>107.4</v>
      </c>
      <c r="O14" s="5">
        <v>109.9</v>
      </c>
      <c r="P14" s="5">
        <v>108.1</v>
      </c>
      <c r="Q14" s="5">
        <v>108.1</v>
      </c>
      <c r="R14" s="5">
        <v>108.8</v>
      </c>
      <c r="S14" s="5">
        <v>107.9</v>
      </c>
      <c r="T14" s="5">
        <v>108.6</v>
      </c>
      <c r="U14" s="5" t="s">
        <v>32</v>
      </c>
      <c r="V14" s="5">
        <v>107.5</v>
      </c>
      <c r="W14" s="5">
        <v>106.8</v>
      </c>
      <c r="X14" s="5">
        <v>105.7</v>
      </c>
      <c r="Y14" s="5">
        <v>104.1</v>
      </c>
      <c r="Z14" s="5">
        <v>105</v>
      </c>
      <c r="AA14" s="5">
        <v>105.5</v>
      </c>
      <c r="AB14" s="5">
        <v>102.1</v>
      </c>
      <c r="AC14" s="5">
        <v>104.8</v>
      </c>
      <c r="AD14" s="5">
        <v>107.2</v>
      </c>
    </row>
    <row r="15" spans="1:30" x14ac:dyDescent="0.3">
      <c r="A15" t="s">
        <v>33</v>
      </c>
      <c r="B15" s="3">
        <v>2013</v>
      </c>
      <c r="C15" t="s">
        <v>38</v>
      </c>
      <c r="D15" s="5">
        <v>115.4</v>
      </c>
      <c r="E15" s="5">
        <v>114.2</v>
      </c>
      <c r="F15" s="5">
        <v>102.7</v>
      </c>
      <c r="G15" s="5">
        <v>105.5</v>
      </c>
      <c r="H15" s="5">
        <v>101.5</v>
      </c>
      <c r="I15" s="5">
        <v>110.6</v>
      </c>
      <c r="J15" s="5">
        <v>123.7</v>
      </c>
      <c r="K15" s="5">
        <v>105.2</v>
      </c>
      <c r="L15" s="5">
        <v>101.9</v>
      </c>
      <c r="M15" s="5">
        <v>105</v>
      </c>
      <c r="N15" s="5">
        <v>109.1</v>
      </c>
      <c r="O15" s="5">
        <v>111.3</v>
      </c>
      <c r="P15" s="5">
        <v>111.1</v>
      </c>
      <c r="Q15" s="5">
        <v>109.8</v>
      </c>
      <c r="R15" s="5">
        <v>108.5</v>
      </c>
      <c r="S15" s="5">
        <v>106.7</v>
      </c>
      <c r="T15" s="5">
        <v>108.3</v>
      </c>
      <c r="U15" s="5">
        <v>100.5</v>
      </c>
      <c r="V15" s="5">
        <v>107.2</v>
      </c>
      <c r="W15" s="5">
        <v>107.1</v>
      </c>
      <c r="X15" s="5">
        <v>106.2</v>
      </c>
      <c r="Y15" s="5">
        <v>103.9</v>
      </c>
      <c r="Z15" s="5">
        <v>104.6</v>
      </c>
      <c r="AA15" s="5">
        <v>105.7</v>
      </c>
      <c r="AB15" s="5">
        <v>102.6</v>
      </c>
      <c r="AC15" s="5">
        <v>104.9</v>
      </c>
      <c r="AD15" s="5">
        <v>106.6</v>
      </c>
    </row>
    <row r="16" spans="1:30" x14ac:dyDescent="0.3">
      <c r="A16" t="s">
        <v>34</v>
      </c>
      <c r="B16" s="3">
        <v>2013</v>
      </c>
      <c r="C16" t="s">
        <v>38</v>
      </c>
      <c r="D16" s="5">
        <v>112.3</v>
      </c>
      <c r="E16" s="5">
        <v>111.3</v>
      </c>
      <c r="F16" s="5">
        <v>104.7</v>
      </c>
      <c r="G16" s="5">
        <v>106.8</v>
      </c>
      <c r="H16" s="5">
        <v>103.9</v>
      </c>
      <c r="I16" s="5">
        <v>109.3</v>
      </c>
      <c r="J16" s="5">
        <v>112.9</v>
      </c>
      <c r="K16" s="5">
        <v>105.8</v>
      </c>
      <c r="L16" s="5">
        <v>103.1</v>
      </c>
      <c r="M16" s="5">
        <v>104.3</v>
      </c>
      <c r="N16" s="5">
        <v>108.1</v>
      </c>
      <c r="O16" s="5">
        <v>110.5</v>
      </c>
      <c r="P16" s="5">
        <v>109.2</v>
      </c>
      <c r="Q16" s="5">
        <v>108.6</v>
      </c>
      <c r="R16" s="5">
        <v>108.7</v>
      </c>
      <c r="S16" s="5">
        <v>107.4</v>
      </c>
      <c r="T16" s="5">
        <v>108.5</v>
      </c>
      <c r="U16" s="5">
        <v>100.5</v>
      </c>
      <c r="V16" s="5">
        <v>107.4</v>
      </c>
      <c r="W16" s="5">
        <v>106.9</v>
      </c>
      <c r="X16" s="5">
        <v>105.9</v>
      </c>
      <c r="Y16" s="5">
        <v>104</v>
      </c>
      <c r="Z16" s="5">
        <v>104.8</v>
      </c>
      <c r="AA16" s="5">
        <v>105.6</v>
      </c>
      <c r="AB16" s="5">
        <v>102.3</v>
      </c>
      <c r="AC16" s="5">
        <v>104.8</v>
      </c>
      <c r="AD16" s="5">
        <v>106.9</v>
      </c>
    </row>
    <row r="17" spans="1:30" x14ac:dyDescent="0.3">
      <c r="A17" t="s">
        <v>30</v>
      </c>
      <c r="B17" s="3">
        <v>2013</v>
      </c>
      <c r="C17" t="s">
        <v>39</v>
      </c>
      <c r="D17" s="5">
        <v>112.3</v>
      </c>
      <c r="E17" s="5">
        <v>112.1</v>
      </c>
      <c r="F17" s="5">
        <v>108.1</v>
      </c>
      <c r="G17" s="5">
        <v>108.3</v>
      </c>
      <c r="H17" s="5">
        <v>105.9</v>
      </c>
      <c r="I17" s="5">
        <v>109.2</v>
      </c>
      <c r="J17" s="5">
        <v>118</v>
      </c>
      <c r="K17" s="5">
        <v>106.8</v>
      </c>
      <c r="L17" s="5">
        <v>104.1</v>
      </c>
      <c r="M17" s="5">
        <v>105.4</v>
      </c>
      <c r="N17" s="5">
        <v>108.2</v>
      </c>
      <c r="O17" s="5">
        <v>111</v>
      </c>
      <c r="P17" s="5">
        <v>110.6</v>
      </c>
      <c r="Q17" s="5">
        <v>109</v>
      </c>
      <c r="R17" s="5">
        <v>109.7</v>
      </c>
      <c r="S17" s="5">
        <v>108.8</v>
      </c>
      <c r="T17" s="5">
        <v>109.5</v>
      </c>
      <c r="U17" s="5" t="s">
        <v>32</v>
      </c>
      <c r="V17" s="5">
        <v>108.5</v>
      </c>
      <c r="W17" s="5">
        <v>107.5</v>
      </c>
      <c r="X17" s="5">
        <v>106.3</v>
      </c>
      <c r="Y17" s="5">
        <v>105</v>
      </c>
      <c r="Z17" s="5">
        <v>105.6</v>
      </c>
      <c r="AA17" s="5">
        <v>106.5</v>
      </c>
      <c r="AB17" s="5">
        <v>102.5</v>
      </c>
      <c r="AC17" s="5">
        <v>105.5</v>
      </c>
      <c r="AD17" s="5">
        <v>108.9</v>
      </c>
    </row>
    <row r="18" spans="1:30" x14ac:dyDescent="0.3">
      <c r="A18" t="s">
        <v>33</v>
      </c>
      <c r="B18" s="3">
        <v>2013</v>
      </c>
      <c r="C18" t="s">
        <v>39</v>
      </c>
      <c r="D18" s="5">
        <v>117</v>
      </c>
      <c r="E18" s="5">
        <v>120.1</v>
      </c>
      <c r="F18" s="5">
        <v>112.5</v>
      </c>
      <c r="G18" s="5">
        <v>107.3</v>
      </c>
      <c r="H18" s="5">
        <v>101.3</v>
      </c>
      <c r="I18" s="5">
        <v>112.4</v>
      </c>
      <c r="J18" s="5">
        <v>143.6</v>
      </c>
      <c r="K18" s="5">
        <v>105.4</v>
      </c>
      <c r="L18" s="5">
        <v>101.4</v>
      </c>
      <c r="M18" s="5">
        <v>106.4</v>
      </c>
      <c r="N18" s="5">
        <v>110</v>
      </c>
      <c r="O18" s="5">
        <v>112.2</v>
      </c>
      <c r="P18" s="5">
        <v>115</v>
      </c>
      <c r="Q18" s="5">
        <v>110.9</v>
      </c>
      <c r="R18" s="5">
        <v>109.2</v>
      </c>
      <c r="S18" s="5">
        <v>107.2</v>
      </c>
      <c r="T18" s="5">
        <v>108.9</v>
      </c>
      <c r="U18" s="5">
        <v>106.6</v>
      </c>
      <c r="V18" s="5">
        <v>108</v>
      </c>
      <c r="W18" s="5">
        <v>107.7</v>
      </c>
      <c r="X18" s="5">
        <v>106.5</v>
      </c>
      <c r="Y18" s="5">
        <v>105.2</v>
      </c>
      <c r="Z18" s="5">
        <v>105.2</v>
      </c>
      <c r="AA18" s="5">
        <v>108.1</v>
      </c>
      <c r="AB18" s="5">
        <v>103.3</v>
      </c>
      <c r="AC18" s="5">
        <v>106.1</v>
      </c>
      <c r="AD18" s="5">
        <v>109.7</v>
      </c>
    </row>
    <row r="19" spans="1:30" x14ac:dyDescent="0.3">
      <c r="A19" t="s">
        <v>34</v>
      </c>
      <c r="B19" s="3">
        <v>2013</v>
      </c>
      <c r="C19" t="s">
        <v>39</v>
      </c>
      <c r="D19" s="5">
        <v>113.8</v>
      </c>
      <c r="E19" s="5">
        <v>114.9</v>
      </c>
      <c r="F19" s="5">
        <v>109.8</v>
      </c>
      <c r="G19" s="5">
        <v>107.9</v>
      </c>
      <c r="H19" s="5">
        <v>104.2</v>
      </c>
      <c r="I19" s="5">
        <v>110.7</v>
      </c>
      <c r="J19" s="5">
        <v>126.7</v>
      </c>
      <c r="K19" s="5">
        <v>106.3</v>
      </c>
      <c r="L19" s="5">
        <v>103.2</v>
      </c>
      <c r="M19" s="5">
        <v>105.7</v>
      </c>
      <c r="N19" s="5">
        <v>109</v>
      </c>
      <c r="O19" s="5">
        <v>111.6</v>
      </c>
      <c r="P19" s="5">
        <v>112.2</v>
      </c>
      <c r="Q19" s="5">
        <v>109.5</v>
      </c>
      <c r="R19" s="5">
        <v>109.5</v>
      </c>
      <c r="S19" s="5">
        <v>108.1</v>
      </c>
      <c r="T19" s="5">
        <v>109.3</v>
      </c>
      <c r="U19" s="5">
        <v>106.6</v>
      </c>
      <c r="V19" s="5">
        <v>108.3</v>
      </c>
      <c r="W19" s="5">
        <v>107.6</v>
      </c>
      <c r="X19" s="5">
        <v>106.4</v>
      </c>
      <c r="Y19" s="5">
        <v>105.1</v>
      </c>
      <c r="Z19" s="5">
        <v>105.4</v>
      </c>
      <c r="AA19" s="5">
        <v>107.4</v>
      </c>
      <c r="AB19" s="5">
        <v>102.8</v>
      </c>
      <c r="AC19" s="5">
        <v>105.8</v>
      </c>
      <c r="AD19" s="5">
        <v>109.3</v>
      </c>
    </row>
    <row r="20" spans="1:30" x14ac:dyDescent="0.3">
      <c r="A20" t="s">
        <v>30</v>
      </c>
      <c r="B20" s="3">
        <v>2013</v>
      </c>
      <c r="C20" t="s">
        <v>40</v>
      </c>
      <c r="D20" s="5">
        <v>113.4</v>
      </c>
      <c r="E20" s="5">
        <v>114.9</v>
      </c>
      <c r="F20" s="5">
        <v>110.5</v>
      </c>
      <c r="G20" s="5">
        <v>109.3</v>
      </c>
      <c r="H20" s="5">
        <v>106.2</v>
      </c>
      <c r="I20" s="5">
        <v>110.3</v>
      </c>
      <c r="J20" s="5">
        <v>129.19999999999999</v>
      </c>
      <c r="K20" s="5">
        <v>107.1</v>
      </c>
      <c r="L20" s="5">
        <v>104.3</v>
      </c>
      <c r="M20" s="5">
        <v>106.4</v>
      </c>
      <c r="N20" s="5">
        <v>109.1</v>
      </c>
      <c r="O20" s="5">
        <v>112.1</v>
      </c>
      <c r="P20" s="5">
        <v>113.1</v>
      </c>
      <c r="Q20" s="5">
        <v>109.8</v>
      </c>
      <c r="R20" s="5">
        <v>110.5</v>
      </c>
      <c r="S20" s="5">
        <v>109.5</v>
      </c>
      <c r="T20" s="5">
        <v>110.3</v>
      </c>
      <c r="U20" s="5" t="s">
        <v>32</v>
      </c>
      <c r="V20" s="5">
        <v>109.5</v>
      </c>
      <c r="W20" s="5">
        <v>108.3</v>
      </c>
      <c r="X20" s="5">
        <v>106.9</v>
      </c>
      <c r="Y20" s="5">
        <v>106.8</v>
      </c>
      <c r="Z20" s="5">
        <v>106.4</v>
      </c>
      <c r="AA20" s="5">
        <v>107.8</v>
      </c>
      <c r="AB20" s="5">
        <v>102.5</v>
      </c>
      <c r="AC20" s="5">
        <v>106.5</v>
      </c>
      <c r="AD20" s="5">
        <v>110.7</v>
      </c>
    </row>
    <row r="21" spans="1:30" x14ac:dyDescent="0.3">
      <c r="A21" t="s">
        <v>33</v>
      </c>
      <c r="B21" s="3">
        <v>2013</v>
      </c>
      <c r="C21" t="s">
        <v>40</v>
      </c>
      <c r="D21" s="5">
        <v>117.8</v>
      </c>
      <c r="E21" s="5">
        <v>119.2</v>
      </c>
      <c r="F21" s="5">
        <v>114</v>
      </c>
      <c r="G21" s="5">
        <v>108.3</v>
      </c>
      <c r="H21" s="5">
        <v>101.1</v>
      </c>
      <c r="I21" s="5">
        <v>113.2</v>
      </c>
      <c r="J21" s="5">
        <v>160.9</v>
      </c>
      <c r="K21" s="5">
        <v>105.1</v>
      </c>
      <c r="L21" s="5">
        <v>101.3</v>
      </c>
      <c r="M21" s="5">
        <v>107.5</v>
      </c>
      <c r="N21" s="5">
        <v>110.4</v>
      </c>
      <c r="O21" s="5">
        <v>113.1</v>
      </c>
      <c r="P21" s="5">
        <v>117.5</v>
      </c>
      <c r="Q21" s="5">
        <v>111.7</v>
      </c>
      <c r="R21" s="5">
        <v>109.8</v>
      </c>
      <c r="S21" s="5">
        <v>107.8</v>
      </c>
      <c r="T21" s="5">
        <v>109.5</v>
      </c>
      <c r="U21" s="5">
        <v>107.7</v>
      </c>
      <c r="V21" s="5">
        <v>108.6</v>
      </c>
      <c r="W21" s="5">
        <v>108.1</v>
      </c>
      <c r="X21" s="5">
        <v>107.1</v>
      </c>
      <c r="Y21" s="5">
        <v>107.3</v>
      </c>
      <c r="Z21" s="5">
        <v>105.9</v>
      </c>
      <c r="AA21" s="5">
        <v>110.1</v>
      </c>
      <c r="AB21" s="5">
        <v>103.2</v>
      </c>
      <c r="AC21" s="5">
        <v>107.3</v>
      </c>
      <c r="AD21" s="5">
        <v>111.4</v>
      </c>
    </row>
    <row r="22" spans="1:30" x14ac:dyDescent="0.3">
      <c r="A22" t="s">
        <v>34</v>
      </c>
      <c r="B22" s="3">
        <v>2013</v>
      </c>
      <c r="C22" t="s">
        <v>40</v>
      </c>
      <c r="D22" s="5">
        <v>114.8</v>
      </c>
      <c r="E22" s="5">
        <v>116.4</v>
      </c>
      <c r="F22" s="5">
        <v>111.9</v>
      </c>
      <c r="G22" s="5">
        <v>108.9</v>
      </c>
      <c r="H22" s="5">
        <v>104.3</v>
      </c>
      <c r="I22" s="5">
        <v>111.7</v>
      </c>
      <c r="J22" s="5">
        <v>140</v>
      </c>
      <c r="K22" s="5">
        <v>106.4</v>
      </c>
      <c r="L22" s="5">
        <v>103.3</v>
      </c>
      <c r="M22" s="5">
        <v>106.8</v>
      </c>
      <c r="N22" s="5">
        <v>109.6</v>
      </c>
      <c r="O22" s="5">
        <v>112.6</v>
      </c>
      <c r="P22" s="5">
        <v>114.7</v>
      </c>
      <c r="Q22" s="5">
        <v>110.3</v>
      </c>
      <c r="R22" s="5">
        <v>110.2</v>
      </c>
      <c r="S22" s="5">
        <v>108.8</v>
      </c>
      <c r="T22" s="5">
        <v>110</v>
      </c>
      <c r="U22" s="5">
        <v>107.7</v>
      </c>
      <c r="V22" s="5">
        <v>109.2</v>
      </c>
      <c r="W22" s="5">
        <v>108.2</v>
      </c>
      <c r="X22" s="5">
        <v>107</v>
      </c>
      <c r="Y22" s="5">
        <v>107.1</v>
      </c>
      <c r="Z22" s="5">
        <v>106.1</v>
      </c>
      <c r="AA22" s="5">
        <v>109.1</v>
      </c>
      <c r="AB22" s="5">
        <v>102.8</v>
      </c>
      <c r="AC22" s="5">
        <v>106.9</v>
      </c>
      <c r="AD22" s="5">
        <v>111</v>
      </c>
    </row>
    <row r="23" spans="1:30" x14ac:dyDescent="0.3">
      <c r="A23" t="s">
        <v>30</v>
      </c>
      <c r="B23" s="3">
        <v>2013</v>
      </c>
      <c r="C23" t="s">
        <v>41</v>
      </c>
      <c r="D23" s="5">
        <v>114.3</v>
      </c>
      <c r="E23" s="5">
        <v>115.4</v>
      </c>
      <c r="F23" s="5">
        <v>111.1</v>
      </c>
      <c r="G23" s="5">
        <v>110</v>
      </c>
      <c r="H23" s="5">
        <v>106.4</v>
      </c>
      <c r="I23" s="5">
        <v>110.8</v>
      </c>
      <c r="J23" s="5">
        <v>138.9</v>
      </c>
      <c r="K23" s="5">
        <v>107.4</v>
      </c>
      <c r="L23" s="5">
        <v>104.1</v>
      </c>
      <c r="M23" s="5">
        <v>106.9</v>
      </c>
      <c r="N23" s="5">
        <v>109.7</v>
      </c>
      <c r="O23" s="5">
        <v>112.6</v>
      </c>
      <c r="P23" s="5">
        <v>114.9</v>
      </c>
      <c r="Q23" s="5">
        <v>110.7</v>
      </c>
      <c r="R23" s="5">
        <v>111.3</v>
      </c>
      <c r="S23" s="5">
        <v>110.2</v>
      </c>
      <c r="T23" s="5">
        <v>111.1</v>
      </c>
      <c r="U23" s="5" t="s">
        <v>32</v>
      </c>
      <c r="V23" s="5">
        <v>109.9</v>
      </c>
      <c r="W23" s="5">
        <v>108.7</v>
      </c>
      <c r="X23" s="5">
        <v>107.5</v>
      </c>
      <c r="Y23" s="5">
        <v>107.8</v>
      </c>
      <c r="Z23" s="5">
        <v>106.8</v>
      </c>
      <c r="AA23" s="5">
        <v>108.7</v>
      </c>
      <c r="AB23" s="5">
        <v>105</v>
      </c>
      <c r="AC23" s="5">
        <v>107.5</v>
      </c>
      <c r="AD23" s="5">
        <v>112.1</v>
      </c>
    </row>
    <row r="24" spans="1:30" x14ac:dyDescent="0.3">
      <c r="A24" t="s">
        <v>33</v>
      </c>
      <c r="B24" s="3">
        <v>2013</v>
      </c>
      <c r="C24" t="s">
        <v>41</v>
      </c>
      <c r="D24" s="5">
        <v>118.3</v>
      </c>
      <c r="E24" s="5">
        <v>120.4</v>
      </c>
      <c r="F24" s="5">
        <v>112.7</v>
      </c>
      <c r="G24" s="5">
        <v>108.9</v>
      </c>
      <c r="H24" s="5">
        <v>101.1</v>
      </c>
      <c r="I24" s="5">
        <v>108.7</v>
      </c>
      <c r="J24" s="5">
        <v>177</v>
      </c>
      <c r="K24" s="5">
        <v>104.7</v>
      </c>
      <c r="L24" s="5">
        <v>101</v>
      </c>
      <c r="M24" s="5">
        <v>108.5</v>
      </c>
      <c r="N24" s="5">
        <v>110.9</v>
      </c>
      <c r="O24" s="5">
        <v>114.3</v>
      </c>
      <c r="P24" s="5">
        <v>119.6</v>
      </c>
      <c r="Q24" s="5">
        <v>112.4</v>
      </c>
      <c r="R24" s="5">
        <v>110.6</v>
      </c>
      <c r="S24" s="5">
        <v>108.3</v>
      </c>
      <c r="T24" s="5">
        <v>110.2</v>
      </c>
      <c r="U24" s="5">
        <v>108.9</v>
      </c>
      <c r="V24" s="5">
        <v>109.3</v>
      </c>
      <c r="W24" s="5">
        <v>108.7</v>
      </c>
      <c r="X24" s="5">
        <v>107.6</v>
      </c>
      <c r="Y24" s="5">
        <v>108.1</v>
      </c>
      <c r="Z24" s="5">
        <v>106.5</v>
      </c>
      <c r="AA24" s="5">
        <v>110.8</v>
      </c>
      <c r="AB24" s="5">
        <v>106</v>
      </c>
      <c r="AC24" s="5">
        <v>108.3</v>
      </c>
      <c r="AD24" s="5">
        <v>112.7</v>
      </c>
    </row>
    <row r="25" spans="1:30" x14ac:dyDescent="0.3">
      <c r="A25" t="s">
        <v>34</v>
      </c>
      <c r="B25" s="3">
        <v>2013</v>
      </c>
      <c r="C25" t="s">
        <v>41</v>
      </c>
      <c r="D25" s="5">
        <v>115.6</v>
      </c>
      <c r="E25" s="5">
        <v>117.2</v>
      </c>
      <c r="F25" s="5">
        <v>111.7</v>
      </c>
      <c r="G25" s="5">
        <v>109.6</v>
      </c>
      <c r="H25" s="5">
        <v>104.5</v>
      </c>
      <c r="I25" s="5">
        <v>109.8</v>
      </c>
      <c r="J25" s="5">
        <v>151.80000000000001</v>
      </c>
      <c r="K25" s="5">
        <v>106.5</v>
      </c>
      <c r="L25" s="5">
        <v>103.1</v>
      </c>
      <c r="M25" s="5">
        <v>107.4</v>
      </c>
      <c r="N25" s="5">
        <v>110.2</v>
      </c>
      <c r="O25" s="5">
        <v>113.4</v>
      </c>
      <c r="P25" s="5">
        <v>116.6</v>
      </c>
      <c r="Q25" s="5">
        <v>111.2</v>
      </c>
      <c r="R25" s="5">
        <v>111</v>
      </c>
      <c r="S25" s="5">
        <v>109.4</v>
      </c>
      <c r="T25" s="5">
        <v>110.7</v>
      </c>
      <c r="U25" s="5">
        <v>108.9</v>
      </c>
      <c r="V25" s="5">
        <v>109.7</v>
      </c>
      <c r="W25" s="5">
        <v>108.7</v>
      </c>
      <c r="X25" s="5">
        <v>107.5</v>
      </c>
      <c r="Y25" s="5">
        <v>108</v>
      </c>
      <c r="Z25" s="5">
        <v>106.6</v>
      </c>
      <c r="AA25" s="5">
        <v>109.9</v>
      </c>
      <c r="AB25" s="5">
        <v>105.4</v>
      </c>
      <c r="AC25" s="5">
        <v>107.9</v>
      </c>
      <c r="AD25" s="5">
        <v>112.4</v>
      </c>
    </row>
    <row r="26" spans="1:30" x14ac:dyDescent="0.3">
      <c r="A26" t="s">
        <v>30</v>
      </c>
      <c r="B26" s="3">
        <v>2013</v>
      </c>
      <c r="C26" t="s">
        <v>42</v>
      </c>
      <c r="D26" s="5">
        <v>115.4</v>
      </c>
      <c r="E26" s="5">
        <v>115.7</v>
      </c>
      <c r="F26" s="5">
        <v>111.7</v>
      </c>
      <c r="G26" s="5">
        <v>111</v>
      </c>
      <c r="H26" s="5">
        <v>107.4</v>
      </c>
      <c r="I26" s="5">
        <v>110.9</v>
      </c>
      <c r="J26" s="5">
        <v>154</v>
      </c>
      <c r="K26" s="5">
        <v>108.1</v>
      </c>
      <c r="L26" s="5">
        <v>104.2</v>
      </c>
      <c r="M26" s="5">
        <v>107.9</v>
      </c>
      <c r="N26" s="5">
        <v>110.4</v>
      </c>
      <c r="O26" s="5">
        <v>114</v>
      </c>
      <c r="P26" s="5">
        <v>117.8</v>
      </c>
      <c r="Q26" s="5">
        <v>111.7</v>
      </c>
      <c r="R26" s="5">
        <v>112.7</v>
      </c>
      <c r="S26" s="5">
        <v>111.4</v>
      </c>
      <c r="T26" s="5">
        <v>112.5</v>
      </c>
      <c r="U26" s="5" t="s">
        <v>32</v>
      </c>
      <c r="V26" s="5">
        <v>111.1</v>
      </c>
      <c r="W26" s="5">
        <v>109.6</v>
      </c>
      <c r="X26" s="5">
        <v>108.3</v>
      </c>
      <c r="Y26" s="5">
        <v>109.3</v>
      </c>
      <c r="Z26" s="5">
        <v>107.7</v>
      </c>
      <c r="AA26" s="5">
        <v>109.8</v>
      </c>
      <c r="AB26" s="5">
        <v>106.7</v>
      </c>
      <c r="AC26" s="5">
        <v>108.7</v>
      </c>
      <c r="AD26" s="5">
        <v>114.2</v>
      </c>
    </row>
    <row r="27" spans="1:30" x14ac:dyDescent="0.3">
      <c r="A27" t="s">
        <v>33</v>
      </c>
      <c r="B27" s="3">
        <v>2013</v>
      </c>
      <c r="C27" t="s">
        <v>42</v>
      </c>
      <c r="D27" s="5">
        <v>118.6</v>
      </c>
      <c r="E27" s="5">
        <v>119.1</v>
      </c>
      <c r="F27" s="5">
        <v>113.2</v>
      </c>
      <c r="G27" s="5">
        <v>109.6</v>
      </c>
      <c r="H27" s="5">
        <v>101.7</v>
      </c>
      <c r="I27" s="5">
        <v>103.2</v>
      </c>
      <c r="J27" s="5">
        <v>174.3</v>
      </c>
      <c r="K27" s="5">
        <v>105.1</v>
      </c>
      <c r="L27" s="5">
        <v>100.8</v>
      </c>
      <c r="M27" s="5">
        <v>109.1</v>
      </c>
      <c r="N27" s="5">
        <v>111.1</v>
      </c>
      <c r="O27" s="5">
        <v>115.4</v>
      </c>
      <c r="P27" s="5">
        <v>119.2</v>
      </c>
      <c r="Q27" s="5">
        <v>112.9</v>
      </c>
      <c r="R27" s="5">
        <v>111.4</v>
      </c>
      <c r="S27" s="5">
        <v>109</v>
      </c>
      <c r="T27" s="5">
        <v>111.1</v>
      </c>
      <c r="U27" s="5">
        <v>109.7</v>
      </c>
      <c r="V27" s="5">
        <v>109.5</v>
      </c>
      <c r="W27" s="5">
        <v>109.6</v>
      </c>
      <c r="X27" s="5">
        <v>107.9</v>
      </c>
      <c r="Y27" s="5">
        <v>110.4</v>
      </c>
      <c r="Z27" s="5">
        <v>107.4</v>
      </c>
      <c r="AA27" s="5">
        <v>111.2</v>
      </c>
      <c r="AB27" s="5">
        <v>106.9</v>
      </c>
      <c r="AC27" s="5">
        <v>109.4</v>
      </c>
      <c r="AD27" s="5">
        <v>113.2</v>
      </c>
    </row>
    <row r="28" spans="1:30" x14ac:dyDescent="0.3">
      <c r="A28" t="s">
        <v>34</v>
      </c>
      <c r="B28" s="3">
        <v>2013</v>
      </c>
      <c r="C28" t="s">
        <v>42</v>
      </c>
      <c r="D28" s="5">
        <v>116.4</v>
      </c>
      <c r="E28" s="5">
        <v>116.9</v>
      </c>
      <c r="F28" s="5">
        <v>112.3</v>
      </c>
      <c r="G28" s="5">
        <v>110.5</v>
      </c>
      <c r="H28" s="5">
        <v>105.3</v>
      </c>
      <c r="I28" s="5">
        <v>107.3</v>
      </c>
      <c r="J28" s="5">
        <v>160.9</v>
      </c>
      <c r="K28" s="5">
        <v>107.1</v>
      </c>
      <c r="L28" s="5">
        <v>103.1</v>
      </c>
      <c r="M28" s="5">
        <v>108.3</v>
      </c>
      <c r="N28" s="5">
        <v>110.7</v>
      </c>
      <c r="O28" s="5">
        <v>114.6</v>
      </c>
      <c r="P28" s="5">
        <v>118.3</v>
      </c>
      <c r="Q28" s="5">
        <v>112</v>
      </c>
      <c r="R28" s="5">
        <v>112.2</v>
      </c>
      <c r="S28" s="5">
        <v>110.4</v>
      </c>
      <c r="T28" s="5">
        <v>111.9</v>
      </c>
      <c r="U28" s="5">
        <v>109.7</v>
      </c>
      <c r="V28" s="5">
        <v>110.5</v>
      </c>
      <c r="W28" s="5">
        <v>109.6</v>
      </c>
      <c r="X28" s="5">
        <v>108.1</v>
      </c>
      <c r="Y28" s="5">
        <v>109.9</v>
      </c>
      <c r="Z28" s="5">
        <v>107.5</v>
      </c>
      <c r="AA28" s="5">
        <v>110.6</v>
      </c>
      <c r="AB28" s="5">
        <v>106.8</v>
      </c>
      <c r="AC28" s="5">
        <v>109</v>
      </c>
      <c r="AD28" s="5">
        <v>113.7</v>
      </c>
    </row>
    <row r="29" spans="1:30" x14ac:dyDescent="0.3">
      <c r="A29" t="s">
        <v>30</v>
      </c>
      <c r="B29" s="3">
        <v>2013</v>
      </c>
      <c r="C29" t="s">
        <v>43</v>
      </c>
      <c r="D29" s="5">
        <v>116.3</v>
      </c>
      <c r="E29" s="5">
        <v>115.4</v>
      </c>
      <c r="F29" s="5">
        <v>112.6</v>
      </c>
      <c r="G29" s="5">
        <v>111.7</v>
      </c>
      <c r="H29" s="5">
        <v>107.7</v>
      </c>
      <c r="I29" s="5">
        <v>113.2</v>
      </c>
      <c r="J29" s="5">
        <v>164.9</v>
      </c>
      <c r="K29" s="5">
        <v>108.3</v>
      </c>
      <c r="L29" s="5">
        <v>103.9</v>
      </c>
      <c r="M29" s="5">
        <v>108.2</v>
      </c>
      <c r="N29" s="5">
        <v>111.1</v>
      </c>
      <c r="O29" s="5">
        <v>114.9</v>
      </c>
      <c r="P29" s="5">
        <v>119.8</v>
      </c>
      <c r="Q29" s="5">
        <v>112.2</v>
      </c>
      <c r="R29" s="5">
        <v>113.6</v>
      </c>
      <c r="S29" s="5">
        <v>112.3</v>
      </c>
      <c r="T29" s="5">
        <v>113.4</v>
      </c>
      <c r="U29" s="5" t="s">
        <v>32</v>
      </c>
      <c r="V29" s="5">
        <v>111.6</v>
      </c>
      <c r="W29" s="5">
        <v>110.4</v>
      </c>
      <c r="X29" s="5">
        <v>108.9</v>
      </c>
      <c r="Y29" s="5">
        <v>109.3</v>
      </c>
      <c r="Z29" s="5">
        <v>108.3</v>
      </c>
      <c r="AA29" s="5">
        <v>110.2</v>
      </c>
      <c r="AB29" s="5">
        <v>107.5</v>
      </c>
      <c r="AC29" s="5">
        <v>109.1</v>
      </c>
      <c r="AD29" s="5">
        <v>115.5</v>
      </c>
    </row>
    <row r="30" spans="1:30" x14ac:dyDescent="0.3">
      <c r="A30" t="s">
        <v>33</v>
      </c>
      <c r="B30" s="3">
        <v>2013</v>
      </c>
      <c r="C30" t="s">
        <v>43</v>
      </c>
      <c r="D30" s="5">
        <v>118.9</v>
      </c>
      <c r="E30" s="5">
        <v>118.1</v>
      </c>
      <c r="F30" s="5">
        <v>114.5</v>
      </c>
      <c r="G30" s="5">
        <v>110.4</v>
      </c>
      <c r="H30" s="5">
        <v>102.3</v>
      </c>
      <c r="I30" s="5">
        <v>106.2</v>
      </c>
      <c r="J30" s="5">
        <v>183.5</v>
      </c>
      <c r="K30" s="5">
        <v>105.3</v>
      </c>
      <c r="L30" s="5">
        <v>100.2</v>
      </c>
      <c r="M30" s="5">
        <v>109.6</v>
      </c>
      <c r="N30" s="5">
        <v>111.4</v>
      </c>
      <c r="O30" s="5">
        <v>116</v>
      </c>
      <c r="P30" s="5">
        <v>120.8</v>
      </c>
      <c r="Q30" s="5">
        <v>113.5</v>
      </c>
      <c r="R30" s="5">
        <v>112.5</v>
      </c>
      <c r="S30" s="5">
        <v>109.7</v>
      </c>
      <c r="T30" s="5">
        <v>112</v>
      </c>
      <c r="U30" s="5">
        <v>110.5</v>
      </c>
      <c r="V30" s="5">
        <v>109.7</v>
      </c>
      <c r="W30" s="5">
        <v>110.2</v>
      </c>
      <c r="X30" s="5">
        <v>108.2</v>
      </c>
      <c r="Y30" s="5">
        <v>109.7</v>
      </c>
      <c r="Z30" s="5">
        <v>108</v>
      </c>
      <c r="AA30" s="5">
        <v>111.3</v>
      </c>
      <c r="AB30" s="5">
        <v>107.3</v>
      </c>
      <c r="AC30" s="5">
        <v>109.4</v>
      </c>
      <c r="AD30" s="5">
        <v>114</v>
      </c>
    </row>
    <row r="31" spans="1:30" x14ac:dyDescent="0.3">
      <c r="A31" t="s">
        <v>34</v>
      </c>
      <c r="B31" s="3">
        <v>2013</v>
      </c>
      <c r="C31" t="s">
        <v>43</v>
      </c>
      <c r="D31" s="5">
        <v>117.1</v>
      </c>
      <c r="E31" s="5">
        <v>116.3</v>
      </c>
      <c r="F31" s="5">
        <v>113.3</v>
      </c>
      <c r="G31" s="5">
        <v>111.2</v>
      </c>
      <c r="H31" s="5">
        <v>105.7</v>
      </c>
      <c r="I31" s="5">
        <v>109.9</v>
      </c>
      <c r="J31" s="5">
        <v>171.2</v>
      </c>
      <c r="K31" s="5">
        <v>107.3</v>
      </c>
      <c r="L31" s="5">
        <v>102.7</v>
      </c>
      <c r="M31" s="5">
        <v>108.7</v>
      </c>
      <c r="N31" s="5">
        <v>111.2</v>
      </c>
      <c r="O31" s="5">
        <v>115.4</v>
      </c>
      <c r="P31" s="5">
        <v>120.2</v>
      </c>
      <c r="Q31" s="5">
        <v>112.5</v>
      </c>
      <c r="R31" s="5">
        <v>113.2</v>
      </c>
      <c r="S31" s="5">
        <v>111.2</v>
      </c>
      <c r="T31" s="5">
        <v>112.8</v>
      </c>
      <c r="U31" s="5">
        <v>110.5</v>
      </c>
      <c r="V31" s="5">
        <v>110.9</v>
      </c>
      <c r="W31" s="5">
        <v>110.3</v>
      </c>
      <c r="X31" s="5">
        <v>108.6</v>
      </c>
      <c r="Y31" s="5">
        <v>109.5</v>
      </c>
      <c r="Z31" s="5">
        <v>108.1</v>
      </c>
      <c r="AA31" s="5">
        <v>110.8</v>
      </c>
      <c r="AB31" s="5">
        <v>107.4</v>
      </c>
      <c r="AC31" s="5">
        <v>109.2</v>
      </c>
      <c r="AD31" s="5">
        <v>114.8</v>
      </c>
    </row>
    <row r="32" spans="1:30" x14ac:dyDescent="0.3">
      <c r="A32" t="s">
        <v>30</v>
      </c>
      <c r="B32" s="3">
        <v>2013</v>
      </c>
      <c r="C32" t="s">
        <v>44</v>
      </c>
      <c r="D32" s="5">
        <v>117.3</v>
      </c>
      <c r="E32" s="5">
        <v>114.9</v>
      </c>
      <c r="F32" s="5">
        <v>116.2</v>
      </c>
      <c r="G32" s="5">
        <v>112.8</v>
      </c>
      <c r="H32" s="5">
        <v>108.9</v>
      </c>
      <c r="I32" s="5">
        <v>116.6</v>
      </c>
      <c r="J32" s="5">
        <v>178.1</v>
      </c>
      <c r="K32" s="5">
        <v>109.1</v>
      </c>
      <c r="L32" s="5">
        <v>103.6</v>
      </c>
      <c r="M32" s="5">
        <v>109</v>
      </c>
      <c r="N32" s="5">
        <v>111.8</v>
      </c>
      <c r="O32" s="5">
        <v>116</v>
      </c>
      <c r="P32" s="5">
        <v>122.5</v>
      </c>
      <c r="Q32" s="5">
        <v>112.8</v>
      </c>
      <c r="R32" s="5">
        <v>114.6</v>
      </c>
      <c r="S32" s="5">
        <v>113.1</v>
      </c>
      <c r="T32" s="5">
        <v>114.4</v>
      </c>
      <c r="U32" s="5" t="s">
        <v>32</v>
      </c>
      <c r="V32" s="5">
        <v>112.6</v>
      </c>
      <c r="W32" s="5">
        <v>111.3</v>
      </c>
      <c r="X32" s="5">
        <v>109.7</v>
      </c>
      <c r="Y32" s="5">
        <v>109.6</v>
      </c>
      <c r="Z32" s="5">
        <v>108.7</v>
      </c>
      <c r="AA32" s="5">
        <v>111</v>
      </c>
      <c r="AB32" s="5">
        <v>108.2</v>
      </c>
      <c r="AC32" s="5">
        <v>109.8</v>
      </c>
      <c r="AD32" s="5">
        <v>117.4</v>
      </c>
    </row>
    <row r="33" spans="1:30" x14ac:dyDescent="0.3">
      <c r="A33" t="s">
        <v>33</v>
      </c>
      <c r="B33" s="3">
        <v>2013</v>
      </c>
      <c r="C33" t="s">
        <v>45</v>
      </c>
      <c r="D33" s="5">
        <v>119.8</v>
      </c>
      <c r="E33" s="5">
        <v>116.3</v>
      </c>
      <c r="F33" s="5">
        <v>122.6</v>
      </c>
      <c r="G33" s="5">
        <v>112</v>
      </c>
      <c r="H33" s="5">
        <v>103.2</v>
      </c>
      <c r="I33" s="5">
        <v>110</v>
      </c>
      <c r="J33" s="5">
        <v>192.8</v>
      </c>
      <c r="K33" s="5">
        <v>106.3</v>
      </c>
      <c r="L33" s="5">
        <v>99.5</v>
      </c>
      <c r="M33" s="5">
        <v>110.3</v>
      </c>
      <c r="N33" s="5">
        <v>111.8</v>
      </c>
      <c r="O33" s="5">
        <v>117.1</v>
      </c>
      <c r="P33" s="5">
        <v>122.9</v>
      </c>
      <c r="Q33" s="5">
        <v>114.1</v>
      </c>
      <c r="R33" s="5">
        <v>113.5</v>
      </c>
      <c r="S33" s="5">
        <v>110.3</v>
      </c>
      <c r="T33" s="5">
        <v>113</v>
      </c>
      <c r="U33" s="5">
        <v>111.1</v>
      </c>
      <c r="V33" s="5">
        <v>110</v>
      </c>
      <c r="W33" s="5">
        <v>110.9</v>
      </c>
      <c r="X33" s="5">
        <v>108.6</v>
      </c>
      <c r="Y33" s="5">
        <v>109.5</v>
      </c>
      <c r="Z33" s="5">
        <v>108.5</v>
      </c>
      <c r="AA33" s="5">
        <v>111.3</v>
      </c>
      <c r="AB33" s="5">
        <v>107.9</v>
      </c>
      <c r="AC33" s="5">
        <v>109.6</v>
      </c>
      <c r="AD33" s="5">
        <v>115</v>
      </c>
    </row>
    <row r="34" spans="1:30" x14ac:dyDescent="0.3">
      <c r="A34" t="s">
        <v>34</v>
      </c>
      <c r="B34" s="3">
        <v>2013</v>
      </c>
      <c r="C34" t="s">
        <v>45</v>
      </c>
      <c r="D34" s="5">
        <v>118.1</v>
      </c>
      <c r="E34" s="5">
        <v>115.4</v>
      </c>
      <c r="F34" s="5">
        <v>118.7</v>
      </c>
      <c r="G34" s="5">
        <v>112.5</v>
      </c>
      <c r="H34" s="5">
        <v>106.8</v>
      </c>
      <c r="I34" s="5">
        <v>113.5</v>
      </c>
      <c r="J34" s="5">
        <v>183.1</v>
      </c>
      <c r="K34" s="5">
        <v>108.2</v>
      </c>
      <c r="L34" s="5">
        <v>102.2</v>
      </c>
      <c r="M34" s="5">
        <v>109.4</v>
      </c>
      <c r="N34" s="5">
        <v>111.8</v>
      </c>
      <c r="O34" s="5">
        <v>116.5</v>
      </c>
      <c r="P34" s="5">
        <v>122.6</v>
      </c>
      <c r="Q34" s="5">
        <v>113.1</v>
      </c>
      <c r="R34" s="5">
        <v>114.2</v>
      </c>
      <c r="S34" s="5">
        <v>111.9</v>
      </c>
      <c r="T34" s="5">
        <v>113.8</v>
      </c>
      <c r="U34" s="5">
        <v>111.1</v>
      </c>
      <c r="V34" s="5">
        <v>111.6</v>
      </c>
      <c r="W34" s="5">
        <v>111.1</v>
      </c>
      <c r="X34" s="5">
        <v>109.3</v>
      </c>
      <c r="Y34" s="5">
        <v>109.5</v>
      </c>
      <c r="Z34" s="5">
        <v>108.6</v>
      </c>
      <c r="AA34" s="5">
        <v>111.2</v>
      </c>
      <c r="AB34" s="5">
        <v>108.1</v>
      </c>
      <c r="AC34" s="5">
        <v>109.7</v>
      </c>
      <c r="AD34" s="5">
        <v>116.3</v>
      </c>
    </row>
    <row r="35" spans="1:30" x14ac:dyDescent="0.3">
      <c r="A35" t="s">
        <v>30</v>
      </c>
      <c r="B35" s="3">
        <v>2013</v>
      </c>
      <c r="C35" t="s">
        <v>46</v>
      </c>
      <c r="D35" s="5">
        <v>118.4</v>
      </c>
      <c r="E35" s="5">
        <v>115.9</v>
      </c>
      <c r="F35" s="5">
        <v>120.4</v>
      </c>
      <c r="G35" s="5">
        <v>113.8</v>
      </c>
      <c r="H35" s="5">
        <v>109.5</v>
      </c>
      <c r="I35" s="5">
        <v>115.5</v>
      </c>
      <c r="J35" s="5">
        <v>145.69999999999999</v>
      </c>
      <c r="K35" s="5">
        <v>109.5</v>
      </c>
      <c r="L35" s="5">
        <v>102.9</v>
      </c>
      <c r="M35" s="5">
        <v>109.8</v>
      </c>
      <c r="N35" s="5">
        <v>112.1</v>
      </c>
      <c r="O35" s="5">
        <v>116.8</v>
      </c>
      <c r="P35" s="5">
        <v>118.7</v>
      </c>
      <c r="Q35" s="5">
        <v>113.6</v>
      </c>
      <c r="R35" s="5">
        <v>115.8</v>
      </c>
      <c r="S35" s="5">
        <v>114</v>
      </c>
      <c r="T35" s="5">
        <v>115.5</v>
      </c>
      <c r="U35" s="5" t="s">
        <v>32</v>
      </c>
      <c r="V35" s="5">
        <v>112.8</v>
      </c>
      <c r="W35" s="5">
        <v>112.1</v>
      </c>
      <c r="X35" s="5">
        <v>110.1</v>
      </c>
      <c r="Y35" s="5">
        <v>109.9</v>
      </c>
      <c r="Z35" s="5">
        <v>109.2</v>
      </c>
      <c r="AA35" s="5">
        <v>111.6</v>
      </c>
      <c r="AB35" s="5">
        <v>108.1</v>
      </c>
      <c r="AC35" s="5">
        <v>110.1</v>
      </c>
      <c r="AD35" s="5">
        <v>115.5</v>
      </c>
    </row>
    <row r="36" spans="1:30" x14ac:dyDescent="0.3">
      <c r="A36" t="s">
        <v>33</v>
      </c>
      <c r="B36" s="3">
        <v>2013</v>
      </c>
      <c r="C36" t="s">
        <v>46</v>
      </c>
      <c r="D36" s="5">
        <v>120.5</v>
      </c>
      <c r="E36" s="5">
        <v>118.1</v>
      </c>
      <c r="F36" s="5">
        <v>128.5</v>
      </c>
      <c r="G36" s="5">
        <v>112.8</v>
      </c>
      <c r="H36" s="5">
        <v>103.4</v>
      </c>
      <c r="I36" s="5">
        <v>110.7</v>
      </c>
      <c r="J36" s="5">
        <v>144.80000000000001</v>
      </c>
      <c r="K36" s="5">
        <v>107.1</v>
      </c>
      <c r="L36" s="5">
        <v>98.6</v>
      </c>
      <c r="M36" s="5">
        <v>111.9</v>
      </c>
      <c r="N36" s="5">
        <v>112.1</v>
      </c>
      <c r="O36" s="5">
        <v>118.1</v>
      </c>
      <c r="P36" s="5">
        <v>117.8</v>
      </c>
      <c r="Q36" s="5">
        <v>115</v>
      </c>
      <c r="R36" s="5">
        <v>114.2</v>
      </c>
      <c r="S36" s="5">
        <v>110.9</v>
      </c>
      <c r="T36" s="5">
        <v>113.7</v>
      </c>
      <c r="U36" s="5">
        <v>110.7</v>
      </c>
      <c r="V36" s="5">
        <v>110.4</v>
      </c>
      <c r="W36" s="5">
        <v>111.3</v>
      </c>
      <c r="X36" s="5">
        <v>109</v>
      </c>
      <c r="Y36" s="5">
        <v>109.7</v>
      </c>
      <c r="Z36" s="5">
        <v>108.9</v>
      </c>
      <c r="AA36" s="5">
        <v>111.4</v>
      </c>
      <c r="AB36" s="5">
        <v>107.7</v>
      </c>
      <c r="AC36" s="5">
        <v>109.8</v>
      </c>
      <c r="AD36" s="5">
        <v>113.3</v>
      </c>
    </row>
    <row r="37" spans="1:30" x14ac:dyDescent="0.3">
      <c r="A37" t="s">
        <v>34</v>
      </c>
      <c r="B37" s="3">
        <v>2013</v>
      </c>
      <c r="C37" t="s">
        <v>46</v>
      </c>
      <c r="D37" s="5">
        <v>119.1</v>
      </c>
      <c r="E37" s="5">
        <v>116.7</v>
      </c>
      <c r="F37" s="5">
        <v>123.5</v>
      </c>
      <c r="G37" s="5">
        <v>113.4</v>
      </c>
      <c r="H37" s="5">
        <v>107.3</v>
      </c>
      <c r="I37" s="5">
        <v>113.3</v>
      </c>
      <c r="J37" s="5">
        <v>145.4</v>
      </c>
      <c r="K37" s="5">
        <v>108.7</v>
      </c>
      <c r="L37" s="5">
        <v>101.5</v>
      </c>
      <c r="M37" s="5">
        <v>110.5</v>
      </c>
      <c r="N37" s="5">
        <v>112.1</v>
      </c>
      <c r="O37" s="5">
        <v>117.4</v>
      </c>
      <c r="P37" s="5">
        <v>118.4</v>
      </c>
      <c r="Q37" s="5">
        <v>114</v>
      </c>
      <c r="R37" s="5">
        <v>115.2</v>
      </c>
      <c r="S37" s="5">
        <v>112.7</v>
      </c>
      <c r="T37" s="5">
        <v>114.8</v>
      </c>
      <c r="U37" s="5">
        <v>110.7</v>
      </c>
      <c r="V37" s="5">
        <v>111.9</v>
      </c>
      <c r="W37" s="5">
        <v>111.7</v>
      </c>
      <c r="X37" s="5">
        <v>109.7</v>
      </c>
      <c r="Y37" s="5">
        <v>109.8</v>
      </c>
      <c r="Z37" s="5">
        <v>109</v>
      </c>
      <c r="AA37" s="5">
        <v>111.5</v>
      </c>
      <c r="AB37" s="5">
        <v>107.9</v>
      </c>
      <c r="AC37" s="5">
        <v>110</v>
      </c>
      <c r="AD37" s="5">
        <v>114.5</v>
      </c>
    </row>
    <row r="38" spans="1:30" x14ac:dyDescent="0.3">
      <c r="A38" t="s">
        <v>30</v>
      </c>
      <c r="B38" s="3">
        <v>2014</v>
      </c>
      <c r="C38" t="s">
        <v>31</v>
      </c>
      <c r="D38" s="5">
        <v>118.9</v>
      </c>
      <c r="E38" s="5">
        <v>117.1</v>
      </c>
      <c r="F38" s="5">
        <v>120.5</v>
      </c>
      <c r="G38" s="5">
        <v>114.4</v>
      </c>
      <c r="H38" s="5">
        <v>109</v>
      </c>
      <c r="I38" s="5">
        <v>115.5</v>
      </c>
      <c r="J38" s="5">
        <v>123.9</v>
      </c>
      <c r="K38" s="5">
        <v>109.6</v>
      </c>
      <c r="L38" s="5">
        <v>101.8</v>
      </c>
      <c r="M38" s="5">
        <v>110.2</v>
      </c>
      <c r="N38" s="5">
        <v>112.4</v>
      </c>
      <c r="O38" s="5">
        <v>117.3</v>
      </c>
      <c r="P38" s="5">
        <v>116</v>
      </c>
      <c r="Q38" s="5">
        <v>114</v>
      </c>
      <c r="R38" s="5">
        <v>116.5</v>
      </c>
      <c r="S38" s="5">
        <v>114.5</v>
      </c>
      <c r="T38" s="5">
        <v>116.2</v>
      </c>
      <c r="U38" s="5" t="s">
        <v>32</v>
      </c>
      <c r="V38" s="5">
        <v>113</v>
      </c>
      <c r="W38" s="5">
        <v>112.6</v>
      </c>
      <c r="X38" s="5">
        <v>110.6</v>
      </c>
      <c r="Y38" s="5">
        <v>110.5</v>
      </c>
      <c r="Z38" s="5">
        <v>109.6</v>
      </c>
      <c r="AA38" s="5">
        <v>111.8</v>
      </c>
      <c r="AB38" s="5">
        <v>108.3</v>
      </c>
      <c r="AC38" s="5">
        <v>110.6</v>
      </c>
      <c r="AD38" s="5">
        <v>114.2</v>
      </c>
    </row>
    <row r="39" spans="1:30" x14ac:dyDescent="0.3">
      <c r="A39" t="s">
        <v>33</v>
      </c>
      <c r="B39" s="3">
        <v>2014</v>
      </c>
      <c r="C39" t="s">
        <v>31</v>
      </c>
      <c r="D39" s="5">
        <v>121.2</v>
      </c>
      <c r="E39" s="5">
        <v>122</v>
      </c>
      <c r="F39" s="5">
        <v>129.9</v>
      </c>
      <c r="G39" s="5">
        <v>113.6</v>
      </c>
      <c r="H39" s="5">
        <v>102.9</v>
      </c>
      <c r="I39" s="5">
        <v>112.1</v>
      </c>
      <c r="J39" s="5">
        <v>118.9</v>
      </c>
      <c r="K39" s="5">
        <v>107.5</v>
      </c>
      <c r="L39" s="5">
        <v>96.9</v>
      </c>
      <c r="M39" s="5">
        <v>112.7</v>
      </c>
      <c r="N39" s="5">
        <v>112.1</v>
      </c>
      <c r="O39" s="5">
        <v>119</v>
      </c>
      <c r="P39" s="5">
        <v>115.5</v>
      </c>
      <c r="Q39" s="5">
        <v>115.7</v>
      </c>
      <c r="R39" s="5">
        <v>114.8</v>
      </c>
      <c r="S39" s="5">
        <v>111.3</v>
      </c>
      <c r="T39" s="5">
        <v>114.3</v>
      </c>
      <c r="U39" s="5">
        <v>111.6</v>
      </c>
      <c r="V39" s="5">
        <v>111</v>
      </c>
      <c r="W39" s="5">
        <v>111.9</v>
      </c>
      <c r="X39" s="5">
        <v>109.7</v>
      </c>
      <c r="Y39" s="5">
        <v>110.8</v>
      </c>
      <c r="Z39" s="5">
        <v>109.8</v>
      </c>
      <c r="AA39" s="5">
        <v>111.5</v>
      </c>
      <c r="AB39" s="5">
        <v>108</v>
      </c>
      <c r="AC39" s="5">
        <v>110.5</v>
      </c>
      <c r="AD39" s="5">
        <v>112.9</v>
      </c>
    </row>
    <row r="40" spans="1:30" x14ac:dyDescent="0.3">
      <c r="A40" t="s">
        <v>34</v>
      </c>
      <c r="B40" s="3">
        <v>2014</v>
      </c>
      <c r="C40" t="s">
        <v>31</v>
      </c>
      <c r="D40" s="5">
        <v>119.6</v>
      </c>
      <c r="E40" s="5">
        <v>118.8</v>
      </c>
      <c r="F40" s="5">
        <v>124.1</v>
      </c>
      <c r="G40" s="5">
        <v>114.1</v>
      </c>
      <c r="H40" s="5">
        <v>106.8</v>
      </c>
      <c r="I40" s="5">
        <v>113.9</v>
      </c>
      <c r="J40" s="5">
        <v>122.2</v>
      </c>
      <c r="K40" s="5">
        <v>108.9</v>
      </c>
      <c r="L40" s="5">
        <v>100.2</v>
      </c>
      <c r="M40" s="5">
        <v>111</v>
      </c>
      <c r="N40" s="5">
        <v>112.3</v>
      </c>
      <c r="O40" s="5">
        <v>118.1</v>
      </c>
      <c r="P40" s="5">
        <v>115.8</v>
      </c>
      <c r="Q40" s="5">
        <v>114.5</v>
      </c>
      <c r="R40" s="5">
        <v>115.8</v>
      </c>
      <c r="S40" s="5">
        <v>113.2</v>
      </c>
      <c r="T40" s="5">
        <v>115.4</v>
      </c>
      <c r="U40" s="5">
        <v>111.6</v>
      </c>
      <c r="V40" s="5">
        <v>112.2</v>
      </c>
      <c r="W40" s="5">
        <v>112.3</v>
      </c>
      <c r="X40" s="5">
        <v>110.3</v>
      </c>
      <c r="Y40" s="5">
        <v>110.7</v>
      </c>
      <c r="Z40" s="5">
        <v>109.7</v>
      </c>
      <c r="AA40" s="5">
        <v>111.6</v>
      </c>
      <c r="AB40" s="5">
        <v>108.2</v>
      </c>
      <c r="AC40" s="5">
        <v>110.6</v>
      </c>
      <c r="AD40" s="5">
        <v>113.6</v>
      </c>
    </row>
    <row r="41" spans="1:30" x14ac:dyDescent="0.3">
      <c r="A41" t="s">
        <v>30</v>
      </c>
      <c r="B41" s="3">
        <v>2014</v>
      </c>
      <c r="C41" t="s">
        <v>35</v>
      </c>
      <c r="D41" s="5">
        <v>119.4</v>
      </c>
      <c r="E41" s="5">
        <v>117.7</v>
      </c>
      <c r="F41" s="5">
        <v>121.2</v>
      </c>
      <c r="G41" s="5">
        <v>115</v>
      </c>
      <c r="H41" s="5">
        <v>109</v>
      </c>
      <c r="I41" s="5">
        <v>116.6</v>
      </c>
      <c r="J41" s="5">
        <v>116</v>
      </c>
      <c r="K41" s="5">
        <v>109.8</v>
      </c>
      <c r="L41" s="5">
        <v>101.1</v>
      </c>
      <c r="M41" s="5">
        <v>110.4</v>
      </c>
      <c r="N41" s="5">
        <v>112.9</v>
      </c>
      <c r="O41" s="5">
        <v>117.8</v>
      </c>
      <c r="P41" s="5">
        <v>115.3</v>
      </c>
      <c r="Q41" s="5">
        <v>114.2</v>
      </c>
      <c r="R41" s="5">
        <v>117.1</v>
      </c>
      <c r="S41" s="5">
        <v>114.5</v>
      </c>
      <c r="T41" s="5">
        <v>116.7</v>
      </c>
      <c r="U41" s="5" t="s">
        <v>32</v>
      </c>
      <c r="V41" s="5">
        <v>113.2</v>
      </c>
      <c r="W41" s="5">
        <v>112.9</v>
      </c>
      <c r="X41" s="5">
        <v>110.9</v>
      </c>
      <c r="Y41" s="5">
        <v>110.8</v>
      </c>
      <c r="Z41" s="5">
        <v>109.9</v>
      </c>
      <c r="AA41" s="5">
        <v>112</v>
      </c>
      <c r="AB41" s="5">
        <v>108.7</v>
      </c>
      <c r="AC41" s="5">
        <v>110.9</v>
      </c>
      <c r="AD41" s="5">
        <v>114</v>
      </c>
    </row>
    <row r="42" spans="1:30" x14ac:dyDescent="0.3">
      <c r="A42" t="s">
        <v>33</v>
      </c>
      <c r="B42" s="3">
        <v>2014</v>
      </c>
      <c r="C42" t="s">
        <v>35</v>
      </c>
      <c r="D42" s="5">
        <v>121.9</v>
      </c>
      <c r="E42" s="5">
        <v>122</v>
      </c>
      <c r="F42" s="5">
        <v>124.5</v>
      </c>
      <c r="G42" s="5">
        <v>115.2</v>
      </c>
      <c r="H42" s="5">
        <v>102.5</v>
      </c>
      <c r="I42" s="5">
        <v>114.1</v>
      </c>
      <c r="J42" s="5">
        <v>111.5</v>
      </c>
      <c r="K42" s="5">
        <v>108.2</v>
      </c>
      <c r="L42" s="5">
        <v>95.4</v>
      </c>
      <c r="M42" s="5">
        <v>113.5</v>
      </c>
      <c r="N42" s="5">
        <v>112.1</v>
      </c>
      <c r="O42" s="5">
        <v>119.9</v>
      </c>
      <c r="P42" s="5">
        <v>115.2</v>
      </c>
      <c r="Q42" s="5">
        <v>116.2</v>
      </c>
      <c r="R42" s="5">
        <v>115.3</v>
      </c>
      <c r="S42" s="5">
        <v>111.7</v>
      </c>
      <c r="T42" s="5">
        <v>114.7</v>
      </c>
      <c r="U42" s="5">
        <v>112.5</v>
      </c>
      <c r="V42" s="5">
        <v>111.1</v>
      </c>
      <c r="W42" s="5">
        <v>112.6</v>
      </c>
      <c r="X42" s="5">
        <v>110.4</v>
      </c>
      <c r="Y42" s="5">
        <v>111.3</v>
      </c>
      <c r="Z42" s="5">
        <v>110.3</v>
      </c>
      <c r="AA42" s="5">
        <v>111.6</v>
      </c>
      <c r="AB42" s="5">
        <v>108.7</v>
      </c>
      <c r="AC42" s="5">
        <v>111</v>
      </c>
      <c r="AD42" s="5">
        <v>113.1</v>
      </c>
    </row>
    <row r="43" spans="1:30" x14ac:dyDescent="0.3">
      <c r="A43" t="s">
        <v>34</v>
      </c>
      <c r="B43" s="3">
        <v>2014</v>
      </c>
      <c r="C43" t="s">
        <v>35</v>
      </c>
      <c r="D43" s="5">
        <v>120.2</v>
      </c>
      <c r="E43" s="5">
        <v>119.2</v>
      </c>
      <c r="F43" s="5">
        <v>122.5</v>
      </c>
      <c r="G43" s="5">
        <v>115.1</v>
      </c>
      <c r="H43" s="5">
        <v>106.6</v>
      </c>
      <c r="I43" s="5">
        <v>115.4</v>
      </c>
      <c r="J43" s="5">
        <v>114.5</v>
      </c>
      <c r="K43" s="5">
        <v>109.3</v>
      </c>
      <c r="L43" s="5">
        <v>99.2</v>
      </c>
      <c r="M43" s="5">
        <v>111.4</v>
      </c>
      <c r="N43" s="5">
        <v>112.6</v>
      </c>
      <c r="O43" s="5">
        <v>118.8</v>
      </c>
      <c r="P43" s="5">
        <v>115.3</v>
      </c>
      <c r="Q43" s="5">
        <v>114.7</v>
      </c>
      <c r="R43" s="5">
        <v>116.4</v>
      </c>
      <c r="S43" s="5">
        <v>113.3</v>
      </c>
      <c r="T43" s="5">
        <v>115.9</v>
      </c>
      <c r="U43" s="5">
        <v>112.5</v>
      </c>
      <c r="V43" s="5">
        <v>112.4</v>
      </c>
      <c r="W43" s="5">
        <v>112.8</v>
      </c>
      <c r="X43" s="5">
        <v>110.7</v>
      </c>
      <c r="Y43" s="5">
        <v>111.1</v>
      </c>
      <c r="Z43" s="5">
        <v>110.1</v>
      </c>
      <c r="AA43" s="5">
        <v>111.8</v>
      </c>
      <c r="AB43" s="5">
        <v>108.7</v>
      </c>
      <c r="AC43" s="5">
        <v>110.9</v>
      </c>
      <c r="AD43" s="5">
        <v>113.6</v>
      </c>
    </row>
    <row r="44" spans="1:30" x14ac:dyDescent="0.3">
      <c r="A44" t="s">
        <v>30</v>
      </c>
      <c r="B44" s="3">
        <v>2014</v>
      </c>
      <c r="C44" t="s">
        <v>36</v>
      </c>
      <c r="D44" s="5">
        <v>120.1</v>
      </c>
      <c r="E44" s="5">
        <v>118.1</v>
      </c>
      <c r="F44" s="5">
        <v>120.7</v>
      </c>
      <c r="G44" s="5">
        <v>116.1</v>
      </c>
      <c r="H44" s="5">
        <v>109.3</v>
      </c>
      <c r="I44" s="5">
        <v>119.6</v>
      </c>
      <c r="J44" s="5">
        <v>117.9</v>
      </c>
      <c r="K44" s="5">
        <v>110.2</v>
      </c>
      <c r="L44" s="5">
        <v>101.2</v>
      </c>
      <c r="M44" s="5">
        <v>110.7</v>
      </c>
      <c r="N44" s="5">
        <v>113</v>
      </c>
      <c r="O44" s="5">
        <v>118.3</v>
      </c>
      <c r="P44" s="5">
        <v>116.2</v>
      </c>
      <c r="Q44" s="5">
        <v>114.6</v>
      </c>
      <c r="R44" s="5">
        <v>117.5</v>
      </c>
      <c r="S44" s="5">
        <v>114.9</v>
      </c>
      <c r="T44" s="5">
        <v>117.2</v>
      </c>
      <c r="U44" s="5" t="s">
        <v>32</v>
      </c>
      <c r="V44" s="5">
        <v>113.4</v>
      </c>
      <c r="W44" s="5">
        <v>113.4</v>
      </c>
      <c r="X44" s="5">
        <v>111.4</v>
      </c>
      <c r="Y44" s="5">
        <v>111.2</v>
      </c>
      <c r="Z44" s="5">
        <v>110.2</v>
      </c>
      <c r="AA44" s="5">
        <v>112.4</v>
      </c>
      <c r="AB44" s="5">
        <v>108.9</v>
      </c>
      <c r="AC44" s="5">
        <v>111.3</v>
      </c>
      <c r="AD44" s="5">
        <v>114.6</v>
      </c>
    </row>
    <row r="45" spans="1:30" x14ac:dyDescent="0.3">
      <c r="A45" t="s">
        <v>33</v>
      </c>
      <c r="B45" s="3">
        <v>2014</v>
      </c>
      <c r="C45" t="s">
        <v>36</v>
      </c>
      <c r="D45" s="5">
        <v>122.1</v>
      </c>
      <c r="E45" s="5">
        <v>121.4</v>
      </c>
      <c r="F45" s="5">
        <v>121.5</v>
      </c>
      <c r="G45" s="5">
        <v>116.2</v>
      </c>
      <c r="H45" s="5">
        <v>102.8</v>
      </c>
      <c r="I45" s="5">
        <v>117.7</v>
      </c>
      <c r="J45" s="5">
        <v>113.3</v>
      </c>
      <c r="K45" s="5">
        <v>108.9</v>
      </c>
      <c r="L45" s="5">
        <v>96.3</v>
      </c>
      <c r="M45" s="5">
        <v>114.1</v>
      </c>
      <c r="N45" s="5">
        <v>112.2</v>
      </c>
      <c r="O45" s="5">
        <v>120.5</v>
      </c>
      <c r="P45" s="5">
        <v>116</v>
      </c>
      <c r="Q45" s="5">
        <v>116.7</v>
      </c>
      <c r="R45" s="5">
        <v>115.8</v>
      </c>
      <c r="S45" s="5">
        <v>112.1</v>
      </c>
      <c r="T45" s="5">
        <v>115.2</v>
      </c>
      <c r="U45" s="5">
        <v>113.2</v>
      </c>
      <c r="V45" s="5">
        <v>110.9</v>
      </c>
      <c r="W45" s="5">
        <v>113</v>
      </c>
      <c r="X45" s="5">
        <v>110.8</v>
      </c>
      <c r="Y45" s="5">
        <v>111.6</v>
      </c>
      <c r="Z45" s="5">
        <v>110.9</v>
      </c>
      <c r="AA45" s="5">
        <v>111.8</v>
      </c>
      <c r="AB45" s="5">
        <v>109.2</v>
      </c>
      <c r="AC45" s="5">
        <v>111.4</v>
      </c>
      <c r="AD45" s="5">
        <v>113.7</v>
      </c>
    </row>
    <row r="46" spans="1:30" x14ac:dyDescent="0.3">
      <c r="A46" t="s">
        <v>34</v>
      </c>
      <c r="B46" s="3">
        <v>2014</v>
      </c>
      <c r="C46" t="s">
        <v>47</v>
      </c>
      <c r="D46" s="5">
        <v>120.7</v>
      </c>
      <c r="E46" s="5">
        <v>119.3</v>
      </c>
      <c r="F46" s="5">
        <v>121</v>
      </c>
      <c r="G46" s="5">
        <v>116.1</v>
      </c>
      <c r="H46" s="5">
        <v>106.9</v>
      </c>
      <c r="I46" s="5">
        <v>118.7</v>
      </c>
      <c r="J46" s="5">
        <v>116.3</v>
      </c>
      <c r="K46" s="5">
        <v>109.8</v>
      </c>
      <c r="L46" s="5">
        <v>99.6</v>
      </c>
      <c r="M46" s="5">
        <v>111.8</v>
      </c>
      <c r="N46" s="5">
        <v>112.7</v>
      </c>
      <c r="O46" s="5">
        <v>119.3</v>
      </c>
      <c r="P46" s="5">
        <v>116.1</v>
      </c>
      <c r="Q46" s="5">
        <v>115.2</v>
      </c>
      <c r="R46" s="5">
        <v>116.8</v>
      </c>
      <c r="S46" s="5">
        <v>113.7</v>
      </c>
      <c r="T46" s="5">
        <v>116.4</v>
      </c>
      <c r="U46" s="5">
        <v>113.2</v>
      </c>
      <c r="V46" s="5">
        <v>112.5</v>
      </c>
      <c r="W46" s="5">
        <v>113.2</v>
      </c>
      <c r="X46" s="5">
        <v>111.2</v>
      </c>
      <c r="Y46" s="5">
        <v>111.4</v>
      </c>
      <c r="Z46" s="5">
        <v>110.6</v>
      </c>
      <c r="AA46" s="5">
        <v>112</v>
      </c>
      <c r="AB46" s="5">
        <v>109</v>
      </c>
      <c r="AC46" s="5">
        <v>111.3</v>
      </c>
      <c r="AD46" s="5">
        <v>114.2</v>
      </c>
    </row>
    <row r="47" spans="1:30" x14ac:dyDescent="0.3">
      <c r="A47" t="s">
        <v>30</v>
      </c>
      <c r="B47" s="3">
        <v>2014</v>
      </c>
      <c r="C47" t="s">
        <v>37</v>
      </c>
      <c r="D47" s="5">
        <v>120.2</v>
      </c>
      <c r="E47" s="5">
        <v>118.9</v>
      </c>
      <c r="F47" s="5">
        <v>118.1</v>
      </c>
      <c r="G47" s="5">
        <v>117</v>
      </c>
      <c r="H47" s="5">
        <v>109.7</v>
      </c>
      <c r="I47" s="5">
        <v>125.5</v>
      </c>
      <c r="J47" s="5">
        <v>120.5</v>
      </c>
      <c r="K47" s="5">
        <v>111</v>
      </c>
      <c r="L47" s="5">
        <v>102.6</v>
      </c>
      <c r="M47" s="5">
        <v>111.2</v>
      </c>
      <c r="N47" s="5">
        <v>113.5</v>
      </c>
      <c r="O47" s="5">
        <v>118.7</v>
      </c>
      <c r="P47" s="5">
        <v>117.2</v>
      </c>
      <c r="Q47" s="5">
        <v>115.4</v>
      </c>
      <c r="R47" s="5">
        <v>118.1</v>
      </c>
      <c r="S47" s="5">
        <v>116.1</v>
      </c>
      <c r="T47" s="5">
        <v>117.8</v>
      </c>
      <c r="U47" s="5" t="s">
        <v>32</v>
      </c>
      <c r="V47" s="5">
        <v>113.4</v>
      </c>
      <c r="W47" s="5">
        <v>113.7</v>
      </c>
      <c r="X47" s="5">
        <v>111.8</v>
      </c>
      <c r="Y47" s="5">
        <v>111.2</v>
      </c>
      <c r="Z47" s="5">
        <v>110.5</v>
      </c>
      <c r="AA47" s="5">
        <v>113</v>
      </c>
      <c r="AB47" s="5">
        <v>108.9</v>
      </c>
      <c r="AC47" s="5">
        <v>111.5</v>
      </c>
      <c r="AD47" s="5">
        <v>115.4</v>
      </c>
    </row>
    <row r="48" spans="1:30" x14ac:dyDescent="0.3">
      <c r="A48" t="s">
        <v>33</v>
      </c>
      <c r="B48" s="3">
        <v>2014</v>
      </c>
      <c r="C48" t="s">
        <v>37</v>
      </c>
      <c r="D48" s="5">
        <v>122.5</v>
      </c>
      <c r="E48" s="5">
        <v>121.7</v>
      </c>
      <c r="F48" s="5">
        <v>113.3</v>
      </c>
      <c r="G48" s="5">
        <v>117</v>
      </c>
      <c r="H48" s="5">
        <v>103.1</v>
      </c>
      <c r="I48" s="5">
        <v>126.7</v>
      </c>
      <c r="J48" s="5">
        <v>121.2</v>
      </c>
      <c r="K48" s="5">
        <v>111</v>
      </c>
      <c r="L48" s="5">
        <v>100.3</v>
      </c>
      <c r="M48" s="5">
        <v>115.3</v>
      </c>
      <c r="N48" s="5">
        <v>112.7</v>
      </c>
      <c r="O48" s="5">
        <v>121</v>
      </c>
      <c r="P48" s="5">
        <v>118.2</v>
      </c>
      <c r="Q48" s="5">
        <v>117.6</v>
      </c>
      <c r="R48" s="5">
        <v>116.3</v>
      </c>
      <c r="S48" s="5">
        <v>112.5</v>
      </c>
      <c r="T48" s="5">
        <v>115.7</v>
      </c>
      <c r="U48" s="5">
        <v>113.9</v>
      </c>
      <c r="V48" s="5">
        <v>110.9</v>
      </c>
      <c r="W48" s="5">
        <v>113.4</v>
      </c>
      <c r="X48" s="5">
        <v>111</v>
      </c>
      <c r="Y48" s="5">
        <v>111.2</v>
      </c>
      <c r="Z48" s="5">
        <v>111.2</v>
      </c>
      <c r="AA48" s="5">
        <v>112.5</v>
      </c>
      <c r="AB48" s="5">
        <v>109.1</v>
      </c>
      <c r="AC48" s="5">
        <v>111.4</v>
      </c>
      <c r="AD48" s="5">
        <v>114.7</v>
      </c>
    </row>
    <row r="49" spans="1:30" x14ac:dyDescent="0.3">
      <c r="A49" t="s">
        <v>34</v>
      </c>
      <c r="B49" s="3">
        <v>2014</v>
      </c>
      <c r="C49" t="s">
        <v>37</v>
      </c>
      <c r="D49" s="5">
        <v>120.9</v>
      </c>
      <c r="E49" s="5">
        <v>119.9</v>
      </c>
      <c r="F49" s="5">
        <v>116.2</v>
      </c>
      <c r="G49" s="5">
        <v>117</v>
      </c>
      <c r="H49" s="5">
        <v>107.3</v>
      </c>
      <c r="I49" s="5">
        <v>126.1</v>
      </c>
      <c r="J49" s="5">
        <v>120.7</v>
      </c>
      <c r="K49" s="5">
        <v>111</v>
      </c>
      <c r="L49" s="5">
        <v>101.8</v>
      </c>
      <c r="M49" s="5">
        <v>112.6</v>
      </c>
      <c r="N49" s="5">
        <v>113.2</v>
      </c>
      <c r="O49" s="5">
        <v>119.8</v>
      </c>
      <c r="P49" s="5">
        <v>117.6</v>
      </c>
      <c r="Q49" s="5">
        <v>116</v>
      </c>
      <c r="R49" s="5">
        <v>117.4</v>
      </c>
      <c r="S49" s="5">
        <v>114.6</v>
      </c>
      <c r="T49" s="5">
        <v>117</v>
      </c>
      <c r="U49" s="5">
        <v>113.9</v>
      </c>
      <c r="V49" s="5">
        <v>112.5</v>
      </c>
      <c r="W49" s="5">
        <v>113.6</v>
      </c>
      <c r="X49" s="5">
        <v>111.5</v>
      </c>
      <c r="Y49" s="5">
        <v>111.2</v>
      </c>
      <c r="Z49" s="5">
        <v>110.9</v>
      </c>
      <c r="AA49" s="5">
        <v>112.7</v>
      </c>
      <c r="AB49" s="5">
        <v>109</v>
      </c>
      <c r="AC49" s="5">
        <v>111.5</v>
      </c>
      <c r="AD49" s="5">
        <v>115.1</v>
      </c>
    </row>
    <row r="50" spans="1:30" x14ac:dyDescent="0.3">
      <c r="A50" t="s">
        <v>30</v>
      </c>
      <c r="B50" s="3">
        <v>2014</v>
      </c>
      <c r="C50" t="s">
        <v>38</v>
      </c>
      <c r="D50" s="5">
        <v>120.3</v>
      </c>
      <c r="E50" s="5">
        <v>120.2</v>
      </c>
      <c r="F50" s="5">
        <v>116.9</v>
      </c>
      <c r="G50" s="5">
        <v>118</v>
      </c>
      <c r="H50" s="5">
        <v>110.1</v>
      </c>
      <c r="I50" s="5">
        <v>126.3</v>
      </c>
      <c r="J50" s="5">
        <v>123.9</v>
      </c>
      <c r="K50" s="5">
        <v>111.5</v>
      </c>
      <c r="L50" s="5">
        <v>103.5</v>
      </c>
      <c r="M50" s="5">
        <v>111.6</v>
      </c>
      <c r="N50" s="5">
        <v>114.2</v>
      </c>
      <c r="O50" s="5">
        <v>119.2</v>
      </c>
      <c r="P50" s="5">
        <v>118.2</v>
      </c>
      <c r="Q50" s="5">
        <v>116.3</v>
      </c>
      <c r="R50" s="5">
        <v>118.7</v>
      </c>
      <c r="S50" s="5">
        <v>116.8</v>
      </c>
      <c r="T50" s="5">
        <v>118.5</v>
      </c>
      <c r="U50" s="5" t="s">
        <v>32</v>
      </c>
      <c r="V50" s="5">
        <v>113.4</v>
      </c>
      <c r="W50" s="5">
        <v>114.1</v>
      </c>
      <c r="X50" s="5">
        <v>112.1</v>
      </c>
      <c r="Y50" s="5">
        <v>111.4</v>
      </c>
      <c r="Z50" s="5">
        <v>110.9</v>
      </c>
      <c r="AA50" s="5">
        <v>113.1</v>
      </c>
      <c r="AB50" s="5">
        <v>108.9</v>
      </c>
      <c r="AC50" s="5">
        <v>111.8</v>
      </c>
      <c r="AD50" s="5">
        <v>116</v>
      </c>
    </row>
    <row r="51" spans="1:30" x14ac:dyDescent="0.3">
      <c r="A51" t="s">
        <v>33</v>
      </c>
      <c r="B51" s="3">
        <v>2014</v>
      </c>
      <c r="C51" t="s">
        <v>38</v>
      </c>
      <c r="D51" s="5">
        <v>122.7</v>
      </c>
      <c r="E51" s="5">
        <v>124.1</v>
      </c>
      <c r="F51" s="5">
        <v>114.2</v>
      </c>
      <c r="G51" s="5">
        <v>119.1</v>
      </c>
      <c r="H51" s="5">
        <v>103.5</v>
      </c>
      <c r="I51" s="5">
        <v>129.19999999999999</v>
      </c>
      <c r="J51" s="5">
        <v>127</v>
      </c>
      <c r="K51" s="5">
        <v>112.6</v>
      </c>
      <c r="L51" s="5">
        <v>101.3</v>
      </c>
      <c r="M51" s="5">
        <v>117</v>
      </c>
      <c r="N51" s="5">
        <v>112.9</v>
      </c>
      <c r="O51" s="5">
        <v>121.7</v>
      </c>
      <c r="P51" s="5">
        <v>120</v>
      </c>
      <c r="Q51" s="5">
        <v>118.3</v>
      </c>
      <c r="R51" s="5">
        <v>116.8</v>
      </c>
      <c r="S51" s="5">
        <v>112.9</v>
      </c>
      <c r="T51" s="5">
        <v>116.2</v>
      </c>
      <c r="U51" s="5">
        <v>114.3</v>
      </c>
      <c r="V51" s="5">
        <v>111.1</v>
      </c>
      <c r="W51" s="5">
        <v>114.1</v>
      </c>
      <c r="X51" s="5">
        <v>111.2</v>
      </c>
      <c r="Y51" s="5">
        <v>111.3</v>
      </c>
      <c r="Z51" s="5">
        <v>111.5</v>
      </c>
      <c r="AA51" s="5">
        <v>112.9</v>
      </c>
      <c r="AB51" s="5">
        <v>109.3</v>
      </c>
      <c r="AC51" s="5">
        <v>111.7</v>
      </c>
      <c r="AD51" s="5">
        <v>115.6</v>
      </c>
    </row>
    <row r="52" spans="1:30" x14ac:dyDescent="0.3">
      <c r="A52" t="s">
        <v>34</v>
      </c>
      <c r="B52" s="3">
        <v>2014</v>
      </c>
      <c r="C52" t="s">
        <v>38</v>
      </c>
      <c r="D52" s="5">
        <v>121.1</v>
      </c>
      <c r="E52" s="5">
        <v>121.6</v>
      </c>
      <c r="F52" s="5">
        <v>115.9</v>
      </c>
      <c r="G52" s="5">
        <v>118.4</v>
      </c>
      <c r="H52" s="5">
        <v>107.7</v>
      </c>
      <c r="I52" s="5">
        <v>127.7</v>
      </c>
      <c r="J52" s="5">
        <v>125</v>
      </c>
      <c r="K52" s="5">
        <v>111.9</v>
      </c>
      <c r="L52" s="5">
        <v>102.8</v>
      </c>
      <c r="M52" s="5">
        <v>113.4</v>
      </c>
      <c r="N52" s="5">
        <v>113.7</v>
      </c>
      <c r="O52" s="5">
        <v>120.4</v>
      </c>
      <c r="P52" s="5">
        <v>118.9</v>
      </c>
      <c r="Q52" s="5">
        <v>116.8</v>
      </c>
      <c r="R52" s="5">
        <v>118</v>
      </c>
      <c r="S52" s="5">
        <v>115.2</v>
      </c>
      <c r="T52" s="5">
        <v>117.6</v>
      </c>
      <c r="U52" s="5">
        <v>114.3</v>
      </c>
      <c r="V52" s="5">
        <v>112.5</v>
      </c>
      <c r="W52" s="5">
        <v>114.1</v>
      </c>
      <c r="X52" s="5">
        <v>111.8</v>
      </c>
      <c r="Y52" s="5">
        <v>111.3</v>
      </c>
      <c r="Z52" s="5">
        <v>111.2</v>
      </c>
      <c r="AA52" s="5">
        <v>113</v>
      </c>
      <c r="AB52" s="5">
        <v>109.1</v>
      </c>
      <c r="AC52" s="5">
        <v>111.8</v>
      </c>
      <c r="AD52" s="5">
        <v>115.8</v>
      </c>
    </row>
    <row r="53" spans="1:30" x14ac:dyDescent="0.3">
      <c r="A53" t="s">
        <v>30</v>
      </c>
      <c r="B53" s="3">
        <v>2014</v>
      </c>
      <c r="C53" t="s">
        <v>39</v>
      </c>
      <c r="D53" s="5">
        <v>120.7</v>
      </c>
      <c r="E53" s="5">
        <v>121.6</v>
      </c>
      <c r="F53" s="5">
        <v>116.1</v>
      </c>
      <c r="G53" s="5">
        <v>119.3</v>
      </c>
      <c r="H53" s="5">
        <v>110.3</v>
      </c>
      <c r="I53" s="5">
        <v>125.8</v>
      </c>
      <c r="J53" s="5">
        <v>129.30000000000001</v>
      </c>
      <c r="K53" s="5">
        <v>112.2</v>
      </c>
      <c r="L53" s="5">
        <v>103.6</v>
      </c>
      <c r="M53" s="5">
        <v>112.3</v>
      </c>
      <c r="N53" s="5">
        <v>114.9</v>
      </c>
      <c r="O53" s="5">
        <v>120.1</v>
      </c>
      <c r="P53" s="5">
        <v>119.5</v>
      </c>
      <c r="Q53" s="5">
        <v>117.3</v>
      </c>
      <c r="R53" s="5">
        <v>119.7</v>
      </c>
      <c r="S53" s="5">
        <v>117.3</v>
      </c>
      <c r="T53" s="5">
        <v>119.3</v>
      </c>
      <c r="U53" s="5" t="s">
        <v>32</v>
      </c>
      <c r="V53" s="5">
        <v>114.4</v>
      </c>
      <c r="W53" s="5">
        <v>114.9</v>
      </c>
      <c r="X53" s="5">
        <v>112.8</v>
      </c>
      <c r="Y53" s="5">
        <v>112.2</v>
      </c>
      <c r="Z53" s="5">
        <v>111.4</v>
      </c>
      <c r="AA53" s="5">
        <v>114.3</v>
      </c>
      <c r="AB53" s="5">
        <v>108</v>
      </c>
      <c r="AC53" s="5">
        <v>112.3</v>
      </c>
      <c r="AD53" s="5">
        <v>117</v>
      </c>
    </row>
    <row r="54" spans="1:30" x14ac:dyDescent="0.3">
      <c r="A54" t="s">
        <v>33</v>
      </c>
      <c r="B54" s="3">
        <v>2014</v>
      </c>
      <c r="C54" t="s">
        <v>39</v>
      </c>
      <c r="D54" s="5">
        <v>123.1</v>
      </c>
      <c r="E54" s="5">
        <v>125.9</v>
      </c>
      <c r="F54" s="5">
        <v>115.4</v>
      </c>
      <c r="G54" s="5">
        <v>120.4</v>
      </c>
      <c r="H54" s="5">
        <v>103.4</v>
      </c>
      <c r="I54" s="5">
        <v>131.19999999999999</v>
      </c>
      <c r="J54" s="5">
        <v>137.5</v>
      </c>
      <c r="K54" s="5">
        <v>112.8</v>
      </c>
      <c r="L54" s="5">
        <v>101.4</v>
      </c>
      <c r="M54" s="5">
        <v>118.3</v>
      </c>
      <c r="N54" s="5">
        <v>113.2</v>
      </c>
      <c r="O54" s="5">
        <v>122.4</v>
      </c>
      <c r="P54" s="5">
        <v>122</v>
      </c>
      <c r="Q54" s="5">
        <v>119</v>
      </c>
      <c r="R54" s="5">
        <v>117.4</v>
      </c>
      <c r="S54" s="5">
        <v>113.2</v>
      </c>
      <c r="T54" s="5">
        <v>116.7</v>
      </c>
      <c r="U54" s="5">
        <v>113.9</v>
      </c>
      <c r="V54" s="5">
        <v>111.2</v>
      </c>
      <c r="W54" s="5">
        <v>114.3</v>
      </c>
      <c r="X54" s="5">
        <v>111.4</v>
      </c>
      <c r="Y54" s="5">
        <v>111.5</v>
      </c>
      <c r="Z54" s="5">
        <v>111.8</v>
      </c>
      <c r="AA54" s="5">
        <v>115.1</v>
      </c>
      <c r="AB54" s="5">
        <v>108.7</v>
      </c>
      <c r="AC54" s="5">
        <v>112.2</v>
      </c>
      <c r="AD54" s="5">
        <v>116.4</v>
      </c>
    </row>
    <row r="55" spans="1:30" x14ac:dyDescent="0.3">
      <c r="A55" t="s">
        <v>34</v>
      </c>
      <c r="B55" s="3">
        <v>2014</v>
      </c>
      <c r="C55" t="s">
        <v>39</v>
      </c>
      <c r="D55" s="5">
        <v>121.5</v>
      </c>
      <c r="E55" s="5">
        <v>123.1</v>
      </c>
      <c r="F55" s="5">
        <v>115.8</v>
      </c>
      <c r="G55" s="5">
        <v>119.7</v>
      </c>
      <c r="H55" s="5">
        <v>107.8</v>
      </c>
      <c r="I55" s="5">
        <v>128.30000000000001</v>
      </c>
      <c r="J55" s="5">
        <v>132.1</v>
      </c>
      <c r="K55" s="5">
        <v>112.4</v>
      </c>
      <c r="L55" s="5">
        <v>102.9</v>
      </c>
      <c r="M55" s="5">
        <v>114.3</v>
      </c>
      <c r="N55" s="5">
        <v>114.2</v>
      </c>
      <c r="O55" s="5">
        <v>121.2</v>
      </c>
      <c r="P55" s="5">
        <v>120.4</v>
      </c>
      <c r="Q55" s="5">
        <v>117.8</v>
      </c>
      <c r="R55" s="5">
        <v>118.8</v>
      </c>
      <c r="S55" s="5">
        <v>115.6</v>
      </c>
      <c r="T55" s="5">
        <v>118.3</v>
      </c>
      <c r="U55" s="5">
        <v>113.9</v>
      </c>
      <c r="V55" s="5">
        <v>113.2</v>
      </c>
      <c r="W55" s="5">
        <v>114.6</v>
      </c>
      <c r="X55" s="5">
        <v>112.3</v>
      </c>
      <c r="Y55" s="5">
        <v>111.8</v>
      </c>
      <c r="Z55" s="5">
        <v>111.6</v>
      </c>
      <c r="AA55" s="5">
        <v>114.8</v>
      </c>
      <c r="AB55" s="5">
        <v>108.3</v>
      </c>
      <c r="AC55" s="5">
        <v>112.3</v>
      </c>
      <c r="AD55" s="5">
        <v>116.7</v>
      </c>
    </row>
    <row r="56" spans="1:30" x14ac:dyDescent="0.3">
      <c r="A56" t="s">
        <v>30</v>
      </c>
      <c r="B56" s="3">
        <v>2014</v>
      </c>
      <c r="C56" t="s">
        <v>40</v>
      </c>
      <c r="D56" s="5">
        <v>121.7</v>
      </c>
      <c r="E56" s="5">
        <v>122.5</v>
      </c>
      <c r="F56" s="5">
        <v>117.7</v>
      </c>
      <c r="G56" s="5">
        <v>120.6</v>
      </c>
      <c r="H56" s="5">
        <v>110.4</v>
      </c>
      <c r="I56" s="5">
        <v>129.1</v>
      </c>
      <c r="J56" s="5">
        <v>150.1</v>
      </c>
      <c r="K56" s="5">
        <v>113.2</v>
      </c>
      <c r="L56" s="5">
        <v>104.8</v>
      </c>
      <c r="M56" s="5">
        <v>113.3</v>
      </c>
      <c r="N56" s="5">
        <v>115.6</v>
      </c>
      <c r="O56" s="5">
        <v>120.9</v>
      </c>
      <c r="P56" s="5">
        <v>123.3</v>
      </c>
      <c r="Q56" s="5">
        <v>118</v>
      </c>
      <c r="R56" s="5">
        <v>120.7</v>
      </c>
      <c r="S56" s="5">
        <v>118.3</v>
      </c>
      <c r="T56" s="5">
        <v>120.3</v>
      </c>
      <c r="U56" s="5" t="s">
        <v>32</v>
      </c>
      <c r="V56" s="5">
        <v>115.3</v>
      </c>
      <c r="W56" s="5">
        <v>115.4</v>
      </c>
      <c r="X56" s="5">
        <v>113.4</v>
      </c>
      <c r="Y56" s="5">
        <v>113.2</v>
      </c>
      <c r="Z56" s="5">
        <v>111.8</v>
      </c>
      <c r="AA56" s="5">
        <v>115.5</v>
      </c>
      <c r="AB56" s="5">
        <v>108.8</v>
      </c>
      <c r="AC56" s="5">
        <v>113.1</v>
      </c>
      <c r="AD56" s="5">
        <v>119.5</v>
      </c>
    </row>
    <row r="57" spans="1:30" x14ac:dyDescent="0.3">
      <c r="A57" t="s">
        <v>33</v>
      </c>
      <c r="B57" s="3">
        <v>2014</v>
      </c>
      <c r="C57" t="s">
        <v>40</v>
      </c>
      <c r="D57" s="5">
        <v>123.8</v>
      </c>
      <c r="E57" s="5">
        <v>126.4</v>
      </c>
      <c r="F57" s="5">
        <v>118</v>
      </c>
      <c r="G57" s="5">
        <v>121.6</v>
      </c>
      <c r="H57" s="5">
        <v>103.5</v>
      </c>
      <c r="I57" s="5">
        <v>133.69999999999999</v>
      </c>
      <c r="J57" s="5">
        <v>172.4</v>
      </c>
      <c r="K57" s="5">
        <v>113.1</v>
      </c>
      <c r="L57" s="5">
        <v>102.7</v>
      </c>
      <c r="M57" s="5">
        <v>120</v>
      </c>
      <c r="N57" s="5">
        <v>113.8</v>
      </c>
      <c r="O57" s="5">
        <v>123.4</v>
      </c>
      <c r="P57" s="5">
        <v>127.1</v>
      </c>
      <c r="Q57" s="5">
        <v>121</v>
      </c>
      <c r="R57" s="5">
        <v>118</v>
      </c>
      <c r="S57" s="5">
        <v>113.6</v>
      </c>
      <c r="T57" s="5">
        <v>117.4</v>
      </c>
      <c r="U57" s="5">
        <v>114.8</v>
      </c>
      <c r="V57" s="5">
        <v>111.6</v>
      </c>
      <c r="W57" s="5">
        <v>114.9</v>
      </c>
      <c r="X57" s="5">
        <v>111.5</v>
      </c>
      <c r="Y57" s="5">
        <v>113</v>
      </c>
      <c r="Z57" s="5">
        <v>112.4</v>
      </c>
      <c r="AA57" s="5">
        <v>117.8</v>
      </c>
      <c r="AB57" s="5">
        <v>109.7</v>
      </c>
      <c r="AC57" s="5">
        <v>113.5</v>
      </c>
      <c r="AD57" s="5">
        <v>118.9</v>
      </c>
    </row>
    <row r="58" spans="1:30" x14ac:dyDescent="0.3">
      <c r="A58" t="s">
        <v>34</v>
      </c>
      <c r="B58" s="3">
        <v>2014</v>
      </c>
      <c r="C58" t="s">
        <v>40</v>
      </c>
      <c r="D58" s="5">
        <v>122.4</v>
      </c>
      <c r="E58" s="5">
        <v>123.9</v>
      </c>
      <c r="F58" s="5">
        <v>117.8</v>
      </c>
      <c r="G58" s="5">
        <v>121</v>
      </c>
      <c r="H58" s="5">
        <v>107.9</v>
      </c>
      <c r="I58" s="5">
        <v>131.19999999999999</v>
      </c>
      <c r="J58" s="5">
        <v>157.69999999999999</v>
      </c>
      <c r="K58" s="5">
        <v>113.2</v>
      </c>
      <c r="L58" s="5">
        <v>104.1</v>
      </c>
      <c r="M58" s="5">
        <v>115.5</v>
      </c>
      <c r="N58" s="5">
        <v>114.8</v>
      </c>
      <c r="O58" s="5">
        <v>122.1</v>
      </c>
      <c r="P58" s="5">
        <v>124.7</v>
      </c>
      <c r="Q58" s="5">
        <v>118.8</v>
      </c>
      <c r="R58" s="5">
        <v>119.6</v>
      </c>
      <c r="S58" s="5">
        <v>116.3</v>
      </c>
      <c r="T58" s="5">
        <v>119.1</v>
      </c>
      <c r="U58" s="5">
        <v>114.8</v>
      </c>
      <c r="V58" s="5">
        <v>113.9</v>
      </c>
      <c r="W58" s="5">
        <v>115.2</v>
      </c>
      <c r="X58" s="5">
        <v>112.7</v>
      </c>
      <c r="Y58" s="5">
        <v>113.1</v>
      </c>
      <c r="Z58" s="5">
        <v>112.1</v>
      </c>
      <c r="AA58" s="5">
        <v>116.8</v>
      </c>
      <c r="AB58" s="5">
        <v>109.2</v>
      </c>
      <c r="AC58" s="5">
        <v>113.3</v>
      </c>
      <c r="AD58" s="5">
        <v>119.2</v>
      </c>
    </row>
    <row r="59" spans="1:30" x14ac:dyDescent="0.3">
      <c r="A59" t="s">
        <v>30</v>
      </c>
      <c r="B59" s="3">
        <v>2014</v>
      </c>
      <c r="C59" t="s">
        <v>41</v>
      </c>
      <c r="D59" s="5">
        <v>121.8</v>
      </c>
      <c r="E59" s="5">
        <v>122.8</v>
      </c>
      <c r="F59" s="5">
        <v>117.8</v>
      </c>
      <c r="G59" s="5">
        <v>121.9</v>
      </c>
      <c r="H59" s="5">
        <v>110.6</v>
      </c>
      <c r="I59" s="5">
        <v>129.69999999999999</v>
      </c>
      <c r="J59" s="5">
        <v>161.1</v>
      </c>
      <c r="K59" s="5">
        <v>114.1</v>
      </c>
      <c r="L59" s="5">
        <v>105.1</v>
      </c>
      <c r="M59" s="5">
        <v>114.6</v>
      </c>
      <c r="N59" s="5">
        <v>115.8</v>
      </c>
      <c r="O59" s="5">
        <v>121.7</v>
      </c>
      <c r="P59" s="5">
        <v>125.3</v>
      </c>
      <c r="Q59" s="5">
        <v>118.8</v>
      </c>
      <c r="R59" s="5">
        <v>120.9</v>
      </c>
      <c r="S59" s="5">
        <v>118.8</v>
      </c>
      <c r="T59" s="5">
        <v>120.7</v>
      </c>
      <c r="U59" s="5" t="s">
        <v>32</v>
      </c>
      <c r="V59" s="5">
        <v>115.4</v>
      </c>
      <c r="W59" s="5">
        <v>115.9</v>
      </c>
      <c r="X59" s="5">
        <v>114</v>
      </c>
      <c r="Y59" s="5">
        <v>113.2</v>
      </c>
      <c r="Z59" s="5">
        <v>112.2</v>
      </c>
      <c r="AA59" s="5">
        <v>116.2</v>
      </c>
      <c r="AB59" s="5">
        <v>109.4</v>
      </c>
      <c r="AC59" s="5">
        <v>113.5</v>
      </c>
      <c r="AD59" s="5">
        <v>120.7</v>
      </c>
    </row>
    <row r="60" spans="1:30" x14ac:dyDescent="0.3">
      <c r="A60" t="s">
        <v>33</v>
      </c>
      <c r="B60" s="3">
        <v>2014</v>
      </c>
      <c r="C60" t="s">
        <v>41</v>
      </c>
      <c r="D60" s="5">
        <v>124.8</v>
      </c>
      <c r="E60" s="5">
        <v>127.3</v>
      </c>
      <c r="F60" s="5">
        <v>116.5</v>
      </c>
      <c r="G60" s="5">
        <v>122.2</v>
      </c>
      <c r="H60" s="5">
        <v>103.6</v>
      </c>
      <c r="I60" s="5">
        <v>132.69999999999999</v>
      </c>
      <c r="J60" s="5">
        <v>181.9</v>
      </c>
      <c r="K60" s="5">
        <v>115.2</v>
      </c>
      <c r="L60" s="5">
        <v>102.7</v>
      </c>
      <c r="M60" s="5">
        <v>122.1</v>
      </c>
      <c r="N60" s="5">
        <v>114.4</v>
      </c>
      <c r="O60" s="5">
        <v>124.7</v>
      </c>
      <c r="P60" s="5">
        <v>128.9</v>
      </c>
      <c r="Q60" s="5">
        <v>123</v>
      </c>
      <c r="R60" s="5">
        <v>118.6</v>
      </c>
      <c r="S60" s="5">
        <v>114.1</v>
      </c>
      <c r="T60" s="5">
        <v>117.9</v>
      </c>
      <c r="U60" s="5">
        <v>115.5</v>
      </c>
      <c r="V60" s="5">
        <v>111.8</v>
      </c>
      <c r="W60" s="5">
        <v>115.3</v>
      </c>
      <c r="X60" s="5">
        <v>112.2</v>
      </c>
      <c r="Y60" s="5">
        <v>112.5</v>
      </c>
      <c r="Z60" s="5">
        <v>112.9</v>
      </c>
      <c r="AA60" s="5">
        <v>119.2</v>
      </c>
      <c r="AB60" s="5">
        <v>110.5</v>
      </c>
      <c r="AC60" s="5">
        <v>113.9</v>
      </c>
      <c r="AD60" s="5">
        <v>119.9</v>
      </c>
    </row>
    <row r="61" spans="1:30" x14ac:dyDescent="0.3">
      <c r="A61" t="s">
        <v>34</v>
      </c>
      <c r="B61" s="3">
        <v>2014</v>
      </c>
      <c r="C61" t="s">
        <v>41</v>
      </c>
      <c r="D61" s="5">
        <v>122.7</v>
      </c>
      <c r="E61" s="5">
        <v>124.4</v>
      </c>
      <c r="F61" s="5">
        <v>117.3</v>
      </c>
      <c r="G61" s="5">
        <v>122</v>
      </c>
      <c r="H61" s="5">
        <v>108</v>
      </c>
      <c r="I61" s="5">
        <v>131.1</v>
      </c>
      <c r="J61" s="5">
        <v>168.2</v>
      </c>
      <c r="K61" s="5">
        <v>114.5</v>
      </c>
      <c r="L61" s="5">
        <v>104.3</v>
      </c>
      <c r="M61" s="5">
        <v>117.1</v>
      </c>
      <c r="N61" s="5">
        <v>115.2</v>
      </c>
      <c r="O61" s="5">
        <v>123.1</v>
      </c>
      <c r="P61" s="5">
        <v>126.6</v>
      </c>
      <c r="Q61" s="5">
        <v>119.9</v>
      </c>
      <c r="R61" s="5">
        <v>120</v>
      </c>
      <c r="S61" s="5">
        <v>116.8</v>
      </c>
      <c r="T61" s="5">
        <v>119.6</v>
      </c>
      <c r="U61" s="5">
        <v>115.5</v>
      </c>
      <c r="V61" s="5">
        <v>114</v>
      </c>
      <c r="W61" s="5">
        <v>115.6</v>
      </c>
      <c r="X61" s="5">
        <v>113.3</v>
      </c>
      <c r="Y61" s="5">
        <v>112.8</v>
      </c>
      <c r="Z61" s="5">
        <v>112.6</v>
      </c>
      <c r="AA61" s="5">
        <v>118</v>
      </c>
      <c r="AB61" s="5">
        <v>109.9</v>
      </c>
      <c r="AC61" s="5">
        <v>113.7</v>
      </c>
      <c r="AD61" s="5">
        <v>120.3</v>
      </c>
    </row>
    <row r="62" spans="1:30" x14ac:dyDescent="0.3">
      <c r="A62" t="s">
        <v>30</v>
      </c>
      <c r="B62" s="3">
        <v>2014</v>
      </c>
      <c r="C62" t="s">
        <v>42</v>
      </c>
      <c r="D62" s="5">
        <v>122.3</v>
      </c>
      <c r="E62" s="5">
        <v>122.4</v>
      </c>
      <c r="F62" s="5">
        <v>117.8</v>
      </c>
      <c r="G62" s="5">
        <v>122.7</v>
      </c>
      <c r="H62" s="5">
        <v>110.4</v>
      </c>
      <c r="I62" s="5">
        <v>129.80000000000001</v>
      </c>
      <c r="J62" s="5">
        <v>158.80000000000001</v>
      </c>
      <c r="K62" s="5">
        <v>115</v>
      </c>
      <c r="L62" s="5">
        <v>104.7</v>
      </c>
      <c r="M62" s="5">
        <v>114.9</v>
      </c>
      <c r="N62" s="5">
        <v>116.5</v>
      </c>
      <c r="O62" s="5">
        <v>122.6</v>
      </c>
      <c r="P62" s="5">
        <v>125.3</v>
      </c>
      <c r="Q62" s="5">
        <v>119.5</v>
      </c>
      <c r="R62" s="5">
        <v>121.7</v>
      </c>
      <c r="S62" s="5">
        <v>119.2</v>
      </c>
      <c r="T62" s="5">
        <v>121.3</v>
      </c>
      <c r="U62" s="5" t="s">
        <v>32</v>
      </c>
      <c r="V62" s="5">
        <v>115.8</v>
      </c>
      <c r="W62" s="5">
        <v>116.7</v>
      </c>
      <c r="X62" s="5">
        <v>114.5</v>
      </c>
      <c r="Y62" s="5">
        <v>112.8</v>
      </c>
      <c r="Z62" s="5">
        <v>112.6</v>
      </c>
      <c r="AA62" s="5">
        <v>116.6</v>
      </c>
      <c r="AB62" s="5">
        <v>109.1</v>
      </c>
      <c r="AC62" s="5">
        <v>113.7</v>
      </c>
      <c r="AD62" s="5">
        <v>120.9</v>
      </c>
    </row>
    <row r="63" spans="1:30" x14ac:dyDescent="0.3">
      <c r="A63" t="s">
        <v>33</v>
      </c>
      <c r="B63" s="3">
        <v>2014</v>
      </c>
      <c r="C63" t="s">
        <v>42</v>
      </c>
      <c r="D63" s="5">
        <v>124.2</v>
      </c>
      <c r="E63" s="5">
        <v>125.4</v>
      </c>
      <c r="F63" s="5">
        <v>116.4</v>
      </c>
      <c r="G63" s="5">
        <v>122.7</v>
      </c>
      <c r="H63" s="5">
        <v>103.5</v>
      </c>
      <c r="I63" s="5">
        <v>124.5</v>
      </c>
      <c r="J63" s="5">
        <v>168.6</v>
      </c>
      <c r="K63" s="5">
        <v>116.9</v>
      </c>
      <c r="L63" s="5">
        <v>101.9</v>
      </c>
      <c r="M63" s="5">
        <v>122.9</v>
      </c>
      <c r="N63" s="5">
        <v>114.8</v>
      </c>
      <c r="O63" s="5">
        <v>125.2</v>
      </c>
      <c r="P63" s="5">
        <v>126.7</v>
      </c>
      <c r="Q63" s="5">
        <v>124.3</v>
      </c>
      <c r="R63" s="5">
        <v>119.2</v>
      </c>
      <c r="S63" s="5">
        <v>114.5</v>
      </c>
      <c r="T63" s="5">
        <v>118.4</v>
      </c>
      <c r="U63" s="5">
        <v>116.1</v>
      </c>
      <c r="V63" s="5">
        <v>111.8</v>
      </c>
      <c r="W63" s="5">
        <v>115.5</v>
      </c>
      <c r="X63" s="5">
        <v>112.3</v>
      </c>
      <c r="Y63" s="5">
        <v>111.2</v>
      </c>
      <c r="Z63" s="5">
        <v>113.4</v>
      </c>
      <c r="AA63" s="5">
        <v>120</v>
      </c>
      <c r="AB63" s="5">
        <v>110</v>
      </c>
      <c r="AC63" s="5">
        <v>113.6</v>
      </c>
      <c r="AD63" s="5">
        <v>119.2</v>
      </c>
    </row>
    <row r="64" spans="1:30" x14ac:dyDescent="0.3">
      <c r="A64" t="s">
        <v>34</v>
      </c>
      <c r="B64" s="3">
        <v>2014</v>
      </c>
      <c r="C64" t="s">
        <v>42</v>
      </c>
      <c r="D64" s="5">
        <v>122.9</v>
      </c>
      <c r="E64" s="5">
        <v>123.5</v>
      </c>
      <c r="F64" s="5">
        <v>117.3</v>
      </c>
      <c r="G64" s="5">
        <v>122.7</v>
      </c>
      <c r="H64" s="5">
        <v>107.9</v>
      </c>
      <c r="I64" s="5">
        <v>127.3</v>
      </c>
      <c r="J64" s="5">
        <v>162.1</v>
      </c>
      <c r="K64" s="5">
        <v>115.6</v>
      </c>
      <c r="L64" s="5">
        <v>103.8</v>
      </c>
      <c r="M64" s="5">
        <v>117.6</v>
      </c>
      <c r="N64" s="5">
        <v>115.8</v>
      </c>
      <c r="O64" s="5">
        <v>123.8</v>
      </c>
      <c r="P64" s="5">
        <v>125.8</v>
      </c>
      <c r="Q64" s="5">
        <v>120.8</v>
      </c>
      <c r="R64" s="5">
        <v>120.7</v>
      </c>
      <c r="S64" s="5">
        <v>117.2</v>
      </c>
      <c r="T64" s="5">
        <v>120.1</v>
      </c>
      <c r="U64" s="5">
        <v>116.1</v>
      </c>
      <c r="V64" s="5">
        <v>114.3</v>
      </c>
      <c r="W64" s="5">
        <v>116.1</v>
      </c>
      <c r="X64" s="5">
        <v>113.7</v>
      </c>
      <c r="Y64" s="5">
        <v>112</v>
      </c>
      <c r="Z64" s="5">
        <v>113.1</v>
      </c>
      <c r="AA64" s="5">
        <v>118.6</v>
      </c>
      <c r="AB64" s="5">
        <v>109.5</v>
      </c>
      <c r="AC64" s="5">
        <v>113.7</v>
      </c>
      <c r="AD64" s="5">
        <v>120.1</v>
      </c>
    </row>
    <row r="65" spans="1:30" x14ac:dyDescent="0.3">
      <c r="A65" t="s">
        <v>30</v>
      </c>
      <c r="B65" s="3">
        <v>2014</v>
      </c>
      <c r="C65" t="s">
        <v>43</v>
      </c>
      <c r="D65" s="5">
        <v>122.6</v>
      </c>
      <c r="E65" s="5">
        <v>122.5</v>
      </c>
      <c r="F65" s="5">
        <v>118.3</v>
      </c>
      <c r="G65" s="5">
        <v>123.2</v>
      </c>
      <c r="H65" s="5">
        <v>110.5</v>
      </c>
      <c r="I65" s="5">
        <v>128.9</v>
      </c>
      <c r="J65" s="5">
        <v>155.30000000000001</v>
      </c>
      <c r="K65" s="5">
        <v>115.5</v>
      </c>
      <c r="L65" s="5">
        <v>104</v>
      </c>
      <c r="M65" s="5">
        <v>115.3</v>
      </c>
      <c r="N65" s="5">
        <v>116.8</v>
      </c>
      <c r="O65" s="5">
        <v>123.2</v>
      </c>
      <c r="P65" s="5">
        <v>125.1</v>
      </c>
      <c r="Q65" s="5">
        <v>120</v>
      </c>
      <c r="R65" s="5">
        <v>122.7</v>
      </c>
      <c r="S65" s="5">
        <v>120.3</v>
      </c>
      <c r="T65" s="5">
        <v>122.3</v>
      </c>
      <c r="U65" s="5" t="s">
        <v>32</v>
      </c>
      <c r="V65" s="5">
        <v>116.4</v>
      </c>
      <c r="W65" s="5">
        <v>117.5</v>
      </c>
      <c r="X65" s="5">
        <v>115.3</v>
      </c>
      <c r="Y65" s="5">
        <v>112.6</v>
      </c>
      <c r="Z65" s="5">
        <v>113</v>
      </c>
      <c r="AA65" s="5">
        <v>116.9</v>
      </c>
      <c r="AB65" s="5">
        <v>109.3</v>
      </c>
      <c r="AC65" s="5">
        <v>114</v>
      </c>
      <c r="AD65" s="5">
        <v>121</v>
      </c>
    </row>
    <row r="66" spans="1:30" x14ac:dyDescent="0.3">
      <c r="A66" t="s">
        <v>33</v>
      </c>
      <c r="B66" s="3">
        <v>2014</v>
      </c>
      <c r="C66" t="s">
        <v>43</v>
      </c>
      <c r="D66" s="5">
        <v>124.6</v>
      </c>
      <c r="E66" s="5">
        <v>126.1</v>
      </c>
      <c r="F66" s="5">
        <v>117.8</v>
      </c>
      <c r="G66" s="5">
        <v>123.1</v>
      </c>
      <c r="H66" s="5">
        <v>103.5</v>
      </c>
      <c r="I66" s="5">
        <v>123.5</v>
      </c>
      <c r="J66" s="5">
        <v>159.6</v>
      </c>
      <c r="K66" s="5">
        <v>117.4</v>
      </c>
      <c r="L66" s="5">
        <v>101.2</v>
      </c>
      <c r="M66" s="5">
        <v>123.8</v>
      </c>
      <c r="N66" s="5">
        <v>115.2</v>
      </c>
      <c r="O66" s="5">
        <v>125.9</v>
      </c>
      <c r="P66" s="5">
        <v>125.8</v>
      </c>
      <c r="Q66" s="5">
        <v>124.3</v>
      </c>
      <c r="R66" s="5">
        <v>119.6</v>
      </c>
      <c r="S66" s="5">
        <v>114.9</v>
      </c>
      <c r="T66" s="5">
        <v>118.9</v>
      </c>
      <c r="U66" s="5">
        <v>116.7</v>
      </c>
      <c r="V66" s="5">
        <v>112</v>
      </c>
      <c r="W66" s="5">
        <v>115.8</v>
      </c>
      <c r="X66" s="5">
        <v>112.6</v>
      </c>
      <c r="Y66" s="5">
        <v>111</v>
      </c>
      <c r="Z66" s="5">
        <v>113.6</v>
      </c>
      <c r="AA66" s="5">
        <v>120.2</v>
      </c>
      <c r="AB66" s="5">
        <v>110.1</v>
      </c>
      <c r="AC66" s="5">
        <v>113.7</v>
      </c>
      <c r="AD66" s="5">
        <v>119.1</v>
      </c>
    </row>
    <row r="67" spans="1:30" x14ac:dyDescent="0.3">
      <c r="A67" t="s">
        <v>34</v>
      </c>
      <c r="B67" s="3">
        <v>2014</v>
      </c>
      <c r="C67" t="s">
        <v>43</v>
      </c>
      <c r="D67" s="5">
        <v>123.2</v>
      </c>
      <c r="E67" s="5">
        <v>123.8</v>
      </c>
      <c r="F67" s="5">
        <v>118.1</v>
      </c>
      <c r="G67" s="5">
        <v>123.2</v>
      </c>
      <c r="H67" s="5">
        <v>107.9</v>
      </c>
      <c r="I67" s="5">
        <v>126.4</v>
      </c>
      <c r="J67" s="5">
        <v>156.80000000000001</v>
      </c>
      <c r="K67" s="5">
        <v>116.1</v>
      </c>
      <c r="L67" s="5">
        <v>103.1</v>
      </c>
      <c r="M67" s="5">
        <v>118.1</v>
      </c>
      <c r="N67" s="5">
        <v>116.1</v>
      </c>
      <c r="O67" s="5">
        <v>124.5</v>
      </c>
      <c r="P67" s="5">
        <v>125.4</v>
      </c>
      <c r="Q67" s="5">
        <v>121.1</v>
      </c>
      <c r="R67" s="5">
        <v>121.5</v>
      </c>
      <c r="S67" s="5">
        <v>118.1</v>
      </c>
      <c r="T67" s="5">
        <v>121</v>
      </c>
      <c r="U67" s="5">
        <v>116.7</v>
      </c>
      <c r="V67" s="5">
        <v>114.7</v>
      </c>
      <c r="W67" s="5">
        <v>116.7</v>
      </c>
      <c r="X67" s="5">
        <v>114.3</v>
      </c>
      <c r="Y67" s="5">
        <v>111.8</v>
      </c>
      <c r="Z67" s="5">
        <v>113.3</v>
      </c>
      <c r="AA67" s="5">
        <v>118.8</v>
      </c>
      <c r="AB67" s="5">
        <v>109.6</v>
      </c>
      <c r="AC67" s="5">
        <v>113.9</v>
      </c>
      <c r="AD67" s="5">
        <v>120.1</v>
      </c>
    </row>
    <row r="68" spans="1:30" x14ac:dyDescent="0.3">
      <c r="A68" t="s">
        <v>30</v>
      </c>
      <c r="B68" s="3">
        <v>2014</v>
      </c>
      <c r="C68" t="s">
        <v>45</v>
      </c>
      <c r="D68" s="5">
        <v>122.7</v>
      </c>
      <c r="E68" s="5">
        <v>122.6</v>
      </c>
      <c r="F68" s="5">
        <v>119.9</v>
      </c>
      <c r="G68" s="5">
        <v>124</v>
      </c>
      <c r="H68" s="5">
        <v>110.5</v>
      </c>
      <c r="I68" s="5">
        <v>128.80000000000001</v>
      </c>
      <c r="J68" s="5">
        <v>152</v>
      </c>
      <c r="K68" s="5">
        <v>116.2</v>
      </c>
      <c r="L68" s="5">
        <v>103.3</v>
      </c>
      <c r="M68" s="5">
        <v>115.8</v>
      </c>
      <c r="N68" s="5">
        <v>116.8</v>
      </c>
      <c r="O68" s="5">
        <v>124.5</v>
      </c>
      <c r="P68" s="5">
        <v>124.9</v>
      </c>
      <c r="Q68" s="5">
        <v>120.8</v>
      </c>
      <c r="R68" s="5">
        <v>123.3</v>
      </c>
      <c r="S68" s="5">
        <v>120.5</v>
      </c>
      <c r="T68" s="5">
        <v>122.9</v>
      </c>
      <c r="U68" s="5" t="s">
        <v>32</v>
      </c>
      <c r="V68" s="5">
        <v>117.3</v>
      </c>
      <c r="W68" s="5">
        <v>118.1</v>
      </c>
      <c r="X68" s="5">
        <v>115.9</v>
      </c>
      <c r="Y68" s="5">
        <v>112</v>
      </c>
      <c r="Z68" s="5">
        <v>113.3</v>
      </c>
      <c r="AA68" s="5">
        <v>117.2</v>
      </c>
      <c r="AB68" s="5">
        <v>108.8</v>
      </c>
      <c r="AC68" s="5">
        <v>114.1</v>
      </c>
      <c r="AD68" s="5">
        <v>121.1</v>
      </c>
    </row>
    <row r="69" spans="1:30" x14ac:dyDescent="0.3">
      <c r="A69" t="s">
        <v>33</v>
      </c>
      <c r="B69" s="3">
        <v>2014</v>
      </c>
      <c r="C69" t="s">
        <v>45</v>
      </c>
      <c r="D69" s="5">
        <v>124.5</v>
      </c>
      <c r="E69" s="5">
        <v>125.6</v>
      </c>
      <c r="F69" s="5">
        <v>122.7</v>
      </c>
      <c r="G69" s="5">
        <v>124.6</v>
      </c>
      <c r="H69" s="5">
        <v>103.2</v>
      </c>
      <c r="I69" s="5">
        <v>122.2</v>
      </c>
      <c r="J69" s="5">
        <v>153.19999999999999</v>
      </c>
      <c r="K69" s="5">
        <v>119.3</v>
      </c>
      <c r="L69" s="5">
        <v>99.8</v>
      </c>
      <c r="M69" s="5">
        <v>124.6</v>
      </c>
      <c r="N69" s="5">
        <v>115.8</v>
      </c>
      <c r="O69" s="5">
        <v>126.9</v>
      </c>
      <c r="P69" s="5">
        <v>125.4</v>
      </c>
      <c r="Q69" s="5">
        <v>125.8</v>
      </c>
      <c r="R69" s="5">
        <v>120.3</v>
      </c>
      <c r="S69" s="5">
        <v>115.4</v>
      </c>
      <c r="T69" s="5">
        <v>119.5</v>
      </c>
      <c r="U69" s="5">
        <v>117.1</v>
      </c>
      <c r="V69" s="5">
        <v>112.6</v>
      </c>
      <c r="W69" s="5">
        <v>116.4</v>
      </c>
      <c r="X69" s="5">
        <v>113</v>
      </c>
      <c r="Y69" s="5">
        <v>109.7</v>
      </c>
      <c r="Z69" s="5">
        <v>114</v>
      </c>
      <c r="AA69" s="5">
        <v>120.3</v>
      </c>
      <c r="AB69" s="5">
        <v>109.6</v>
      </c>
      <c r="AC69" s="5">
        <v>113.4</v>
      </c>
      <c r="AD69" s="5">
        <v>119</v>
      </c>
    </row>
    <row r="70" spans="1:30" x14ac:dyDescent="0.3">
      <c r="A70" t="s">
        <v>34</v>
      </c>
      <c r="B70" s="3">
        <v>2014</v>
      </c>
      <c r="C70" t="s">
        <v>45</v>
      </c>
      <c r="D70" s="5">
        <v>123.3</v>
      </c>
      <c r="E70" s="5">
        <v>123.7</v>
      </c>
      <c r="F70" s="5">
        <v>121</v>
      </c>
      <c r="G70" s="5">
        <v>124.2</v>
      </c>
      <c r="H70" s="5">
        <v>107.8</v>
      </c>
      <c r="I70" s="5">
        <v>125.7</v>
      </c>
      <c r="J70" s="5">
        <v>152.4</v>
      </c>
      <c r="K70" s="5">
        <v>117.2</v>
      </c>
      <c r="L70" s="5">
        <v>102.1</v>
      </c>
      <c r="M70" s="5">
        <v>118.7</v>
      </c>
      <c r="N70" s="5">
        <v>116.4</v>
      </c>
      <c r="O70" s="5">
        <v>125.6</v>
      </c>
      <c r="P70" s="5">
        <v>125.1</v>
      </c>
      <c r="Q70" s="5">
        <v>122.1</v>
      </c>
      <c r="R70" s="5">
        <v>122.1</v>
      </c>
      <c r="S70" s="5">
        <v>118.4</v>
      </c>
      <c r="T70" s="5">
        <v>121.6</v>
      </c>
      <c r="U70" s="5">
        <v>117.1</v>
      </c>
      <c r="V70" s="5">
        <v>115.5</v>
      </c>
      <c r="W70" s="5">
        <v>117.3</v>
      </c>
      <c r="X70" s="5">
        <v>114.8</v>
      </c>
      <c r="Y70" s="5">
        <v>110.8</v>
      </c>
      <c r="Z70" s="5">
        <v>113.7</v>
      </c>
      <c r="AA70" s="5">
        <v>119</v>
      </c>
      <c r="AB70" s="5">
        <v>109.1</v>
      </c>
      <c r="AC70" s="5">
        <v>113.8</v>
      </c>
      <c r="AD70" s="5">
        <v>120.1</v>
      </c>
    </row>
    <row r="71" spans="1:30" x14ac:dyDescent="0.3">
      <c r="A71" t="s">
        <v>30</v>
      </c>
      <c r="B71" s="3">
        <v>2014</v>
      </c>
      <c r="C71" t="s">
        <v>46</v>
      </c>
      <c r="D71" s="5">
        <v>122.4</v>
      </c>
      <c r="E71" s="5">
        <v>122.4</v>
      </c>
      <c r="F71" s="5">
        <v>121.8</v>
      </c>
      <c r="G71" s="5">
        <v>124.2</v>
      </c>
      <c r="H71" s="5">
        <v>110.2</v>
      </c>
      <c r="I71" s="5">
        <v>128.6</v>
      </c>
      <c r="J71" s="5">
        <v>140.30000000000001</v>
      </c>
      <c r="K71" s="5">
        <v>116.3</v>
      </c>
      <c r="L71" s="5">
        <v>102</v>
      </c>
      <c r="M71" s="5">
        <v>116</v>
      </c>
      <c r="N71" s="5">
        <v>117.3</v>
      </c>
      <c r="O71" s="5">
        <v>124.8</v>
      </c>
      <c r="P71" s="5">
        <v>123.3</v>
      </c>
      <c r="Q71" s="5">
        <v>121.7</v>
      </c>
      <c r="R71" s="5">
        <v>123.8</v>
      </c>
      <c r="S71" s="5">
        <v>120.6</v>
      </c>
      <c r="T71" s="5">
        <v>123.3</v>
      </c>
      <c r="U71" s="5" t="s">
        <v>32</v>
      </c>
      <c r="V71" s="5">
        <v>117.4</v>
      </c>
      <c r="W71" s="5">
        <v>118.2</v>
      </c>
      <c r="X71" s="5">
        <v>116.2</v>
      </c>
      <c r="Y71" s="5">
        <v>111.5</v>
      </c>
      <c r="Z71" s="5">
        <v>113.3</v>
      </c>
      <c r="AA71" s="5">
        <v>117.7</v>
      </c>
      <c r="AB71" s="5">
        <v>109.4</v>
      </c>
      <c r="AC71" s="5">
        <v>114.2</v>
      </c>
      <c r="AD71" s="5">
        <v>120.3</v>
      </c>
    </row>
    <row r="72" spans="1:30" x14ac:dyDescent="0.3">
      <c r="A72" t="s">
        <v>33</v>
      </c>
      <c r="B72" s="3">
        <v>2014</v>
      </c>
      <c r="C72" t="s">
        <v>46</v>
      </c>
      <c r="D72" s="5">
        <v>124</v>
      </c>
      <c r="E72" s="5">
        <v>124.7</v>
      </c>
      <c r="F72" s="5">
        <v>126.3</v>
      </c>
      <c r="G72" s="5">
        <v>124.9</v>
      </c>
      <c r="H72" s="5">
        <v>103</v>
      </c>
      <c r="I72" s="5">
        <v>122.3</v>
      </c>
      <c r="J72" s="5">
        <v>141</v>
      </c>
      <c r="K72" s="5">
        <v>120.1</v>
      </c>
      <c r="L72" s="5">
        <v>97.8</v>
      </c>
      <c r="M72" s="5">
        <v>125.4</v>
      </c>
      <c r="N72" s="5">
        <v>116.1</v>
      </c>
      <c r="O72" s="5">
        <v>127.6</v>
      </c>
      <c r="P72" s="5">
        <v>124</v>
      </c>
      <c r="Q72" s="5">
        <v>126.4</v>
      </c>
      <c r="R72" s="5">
        <v>120.7</v>
      </c>
      <c r="S72" s="5">
        <v>115.8</v>
      </c>
      <c r="T72" s="5">
        <v>120</v>
      </c>
      <c r="U72" s="5">
        <v>116.5</v>
      </c>
      <c r="V72" s="5">
        <v>113</v>
      </c>
      <c r="W72" s="5">
        <v>116.8</v>
      </c>
      <c r="X72" s="5">
        <v>113.2</v>
      </c>
      <c r="Y72" s="5">
        <v>108.8</v>
      </c>
      <c r="Z72" s="5">
        <v>114.3</v>
      </c>
      <c r="AA72" s="5">
        <v>120.7</v>
      </c>
      <c r="AB72" s="5">
        <v>110.4</v>
      </c>
      <c r="AC72" s="5">
        <v>113.4</v>
      </c>
      <c r="AD72" s="5">
        <v>118.4</v>
      </c>
    </row>
    <row r="73" spans="1:30" x14ac:dyDescent="0.3">
      <c r="A73" t="s">
        <v>34</v>
      </c>
      <c r="B73" s="3">
        <v>2014</v>
      </c>
      <c r="C73" t="s">
        <v>46</v>
      </c>
      <c r="D73" s="5">
        <v>122.9</v>
      </c>
      <c r="E73" s="5">
        <v>123.2</v>
      </c>
      <c r="F73" s="5">
        <v>123.5</v>
      </c>
      <c r="G73" s="5">
        <v>124.5</v>
      </c>
      <c r="H73" s="5">
        <v>107.6</v>
      </c>
      <c r="I73" s="5">
        <v>125.7</v>
      </c>
      <c r="J73" s="5">
        <v>140.5</v>
      </c>
      <c r="K73" s="5">
        <v>117.6</v>
      </c>
      <c r="L73" s="5">
        <v>100.6</v>
      </c>
      <c r="M73" s="5">
        <v>119.1</v>
      </c>
      <c r="N73" s="5">
        <v>116.8</v>
      </c>
      <c r="O73" s="5">
        <v>126.1</v>
      </c>
      <c r="P73" s="5">
        <v>123.6</v>
      </c>
      <c r="Q73" s="5">
        <v>123</v>
      </c>
      <c r="R73" s="5">
        <v>122.6</v>
      </c>
      <c r="S73" s="5">
        <v>118.6</v>
      </c>
      <c r="T73" s="5">
        <v>122</v>
      </c>
      <c r="U73" s="5">
        <v>116.5</v>
      </c>
      <c r="V73" s="5">
        <v>115.7</v>
      </c>
      <c r="W73" s="5">
        <v>117.5</v>
      </c>
      <c r="X73" s="5">
        <v>115.1</v>
      </c>
      <c r="Y73" s="5">
        <v>110.1</v>
      </c>
      <c r="Z73" s="5">
        <v>113.9</v>
      </c>
      <c r="AA73" s="5">
        <v>119.5</v>
      </c>
      <c r="AB73" s="5">
        <v>109.8</v>
      </c>
      <c r="AC73" s="5">
        <v>113.8</v>
      </c>
      <c r="AD73" s="5">
        <v>119.4</v>
      </c>
    </row>
    <row r="74" spans="1:30" x14ac:dyDescent="0.3">
      <c r="A74" t="s">
        <v>30</v>
      </c>
      <c r="B74" s="3">
        <v>2015</v>
      </c>
      <c r="C74" t="s">
        <v>31</v>
      </c>
      <c r="D74" s="5">
        <v>123.1</v>
      </c>
      <c r="E74" s="5">
        <v>123.1</v>
      </c>
      <c r="F74" s="5">
        <v>122.1</v>
      </c>
      <c r="G74" s="5">
        <v>124.9</v>
      </c>
      <c r="H74" s="5">
        <v>111</v>
      </c>
      <c r="I74" s="5">
        <v>130.4</v>
      </c>
      <c r="J74" s="5">
        <v>132.30000000000001</v>
      </c>
      <c r="K74" s="5">
        <v>117.2</v>
      </c>
      <c r="L74" s="5">
        <v>100.5</v>
      </c>
      <c r="M74" s="5">
        <v>117.2</v>
      </c>
      <c r="N74" s="5">
        <v>117.9</v>
      </c>
      <c r="O74" s="5">
        <v>125.6</v>
      </c>
      <c r="P74" s="5">
        <v>122.8</v>
      </c>
      <c r="Q74" s="5">
        <v>122.7</v>
      </c>
      <c r="R74" s="5">
        <v>124.4</v>
      </c>
      <c r="S74" s="5">
        <v>121.6</v>
      </c>
      <c r="T74" s="5">
        <v>124</v>
      </c>
      <c r="U74" s="5" t="s">
        <v>32</v>
      </c>
      <c r="V74" s="5">
        <v>118.4</v>
      </c>
      <c r="W74" s="5">
        <v>118.9</v>
      </c>
      <c r="X74" s="5">
        <v>116.6</v>
      </c>
      <c r="Y74" s="5">
        <v>111</v>
      </c>
      <c r="Z74" s="5">
        <v>114</v>
      </c>
      <c r="AA74" s="5">
        <v>118.2</v>
      </c>
      <c r="AB74" s="5">
        <v>110.2</v>
      </c>
      <c r="AC74" s="5">
        <v>114.5</v>
      </c>
      <c r="AD74" s="5">
        <v>120.3</v>
      </c>
    </row>
    <row r="75" spans="1:30" x14ac:dyDescent="0.3">
      <c r="A75" t="s">
        <v>33</v>
      </c>
      <c r="B75" s="3">
        <v>2015</v>
      </c>
      <c r="C75" t="s">
        <v>31</v>
      </c>
      <c r="D75" s="5">
        <v>124</v>
      </c>
      <c r="E75" s="5">
        <v>125.5</v>
      </c>
      <c r="F75" s="5">
        <v>126.6</v>
      </c>
      <c r="G75" s="5">
        <v>125.2</v>
      </c>
      <c r="H75" s="5">
        <v>104.3</v>
      </c>
      <c r="I75" s="5">
        <v>121.3</v>
      </c>
      <c r="J75" s="5">
        <v>134.4</v>
      </c>
      <c r="K75" s="5">
        <v>122.9</v>
      </c>
      <c r="L75" s="5">
        <v>96.1</v>
      </c>
      <c r="M75" s="5">
        <v>126.6</v>
      </c>
      <c r="N75" s="5">
        <v>116.5</v>
      </c>
      <c r="O75" s="5">
        <v>128</v>
      </c>
      <c r="P75" s="5">
        <v>123.5</v>
      </c>
      <c r="Q75" s="5">
        <v>127.4</v>
      </c>
      <c r="R75" s="5">
        <v>121</v>
      </c>
      <c r="S75" s="5">
        <v>116.1</v>
      </c>
      <c r="T75" s="5">
        <v>120.2</v>
      </c>
      <c r="U75" s="5">
        <v>117.3</v>
      </c>
      <c r="V75" s="5">
        <v>113.4</v>
      </c>
      <c r="W75" s="5">
        <v>117.2</v>
      </c>
      <c r="X75" s="5">
        <v>113.7</v>
      </c>
      <c r="Y75" s="5">
        <v>107.9</v>
      </c>
      <c r="Z75" s="5">
        <v>114.6</v>
      </c>
      <c r="AA75" s="5">
        <v>120.8</v>
      </c>
      <c r="AB75" s="5">
        <v>111.4</v>
      </c>
      <c r="AC75" s="5">
        <v>113.4</v>
      </c>
      <c r="AD75" s="5">
        <v>118.5</v>
      </c>
    </row>
    <row r="76" spans="1:30" x14ac:dyDescent="0.3">
      <c r="A76" t="s">
        <v>34</v>
      </c>
      <c r="B76" s="3">
        <v>2015</v>
      </c>
      <c r="C76" t="s">
        <v>31</v>
      </c>
      <c r="D76" s="5">
        <v>123.4</v>
      </c>
      <c r="E76" s="5">
        <v>123.9</v>
      </c>
      <c r="F76" s="5">
        <v>123.8</v>
      </c>
      <c r="G76" s="5">
        <v>125</v>
      </c>
      <c r="H76" s="5">
        <v>108.5</v>
      </c>
      <c r="I76" s="5">
        <v>126.2</v>
      </c>
      <c r="J76" s="5">
        <v>133</v>
      </c>
      <c r="K76" s="5">
        <v>119.1</v>
      </c>
      <c r="L76" s="5">
        <v>99</v>
      </c>
      <c r="M76" s="5">
        <v>120.3</v>
      </c>
      <c r="N76" s="5">
        <v>117.3</v>
      </c>
      <c r="O76" s="5">
        <v>126.7</v>
      </c>
      <c r="P76" s="5">
        <v>123.1</v>
      </c>
      <c r="Q76" s="5">
        <v>124</v>
      </c>
      <c r="R76" s="5">
        <v>123.1</v>
      </c>
      <c r="S76" s="5">
        <v>119.3</v>
      </c>
      <c r="T76" s="5">
        <v>122.5</v>
      </c>
      <c r="U76" s="5">
        <v>117.3</v>
      </c>
      <c r="V76" s="5">
        <v>116.5</v>
      </c>
      <c r="W76" s="5">
        <v>118.1</v>
      </c>
      <c r="X76" s="5">
        <v>115.5</v>
      </c>
      <c r="Y76" s="5">
        <v>109.4</v>
      </c>
      <c r="Z76" s="5">
        <v>114.3</v>
      </c>
      <c r="AA76" s="5">
        <v>119.7</v>
      </c>
      <c r="AB76" s="5">
        <v>110.7</v>
      </c>
      <c r="AC76" s="5">
        <v>114</v>
      </c>
      <c r="AD76" s="5">
        <v>119.5</v>
      </c>
    </row>
    <row r="77" spans="1:30" x14ac:dyDescent="0.3">
      <c r="A77" t="s">
        <v>30</v>
      </c>
      <c r="B77" s="3">
        <v>2015</v>
      </c>
      <c r="C77" t="s">
        <v>35</v>
      </c>
      <c r="D77" s="5">
        <v>123.4</v>
      </c>
      <c r="E77" s="5">
        <v>124.4</v>
      </c>
      <c r="F77" s="5">
        <v>122.1</v>
      </c>
      <c r="G77" s="5">
        <v>125.8</v>
      </c>
      <c r="H77" s="5">
        <v>111.5</v>
      </c>
      <c r="I77" s="5">
        <v>129.4</v>
      </c>
      <c r="J77" s="5">
        <v>128.19999999999999</v>
      </c>
      <c r="K77" s="5">
        <v>118.8</v>
      </c>
      <c r="L77" s="5">
        <v>100</v>
      </c>
      <c r="M77" s="5">
        <v>118.6</v>
      </c>
      <c r="N77" s="5">
        <v>118.8</v>
      </c>
      <c r="O77" s="5">
        <v>126.8</v>
      </c>
      <c r="P77" s="5">
        <v>122.8</v>
      </c>
      <c r="Q77" s="5">
        <v>124.2</v>
      </c>
      <c r="R77" s="5">
        <v>125.4</v>
      </c>
      <c r="S77" s="5">
        <v>122.7</v>
      </c>
      <c r="T77" s="5">
        <v>125</v>
      </c>
      <c r="U77" s="5" t="s">
        <v>32</v>
      </c>
      <c r="V77" s="5">
        <v>120</v>
      </c>
      <c r="W77" s="5">
        <v>119.6</v>
      </c>
      <c r="X77" s="5">
        <v>117.7</v>
      </c>
      <c r="Y77" s="5">
        <v>110.9</v>
      </c>
      <c r="Z77" s="5">
        <v>114.8</v>
      </c>
      <c r="AA77" s="5">
        <v>118.7</v>
      </c>
      <c r="AB77" s="5">
        <v>110.8</v>
      </c>
      <c r="AC77" s="5">
        <v>115</v>
      </c>
      <c r="AD77" s="5">
        <v>120.6</v>
      </c>
    </row>
    <row r="78" spans="1:30" x14ac:dyDescent="0.3">
      <c r="A78" t="s">
        <v>33</v>
      </c>
      <c r="B78" s="3">
        <v>2015</v>
      </c>
      <c r="C78" t="s">
        <v>35</v>
      </c>
      <c r="D78" s="5">
        <v>124.3</v>
      </c>
      <c r="E78" s="5">
        <v>126.5</v>
      </c>
      <c r="F78" s="5">
        <v>119.5</v>
      </c>
      <c r="G78" s="5">
        <v>125.6</v>
      </c>
      <c r="H78" s="5">
        <v>104.9</v>
      </c>
      <c r="I78" s="5">
        <v>121.6</v>
      </c>
      <c r="J78" s="5">
        <v>131.80000000000001</v>
      </c>
      <c r="K78" s="5">
        <v>125.1</v>
      </c>
      <c r="L78" s="5">
        <v>95</v>
      </c>
      <c r="M78" s="5">
        <v>127.7</v>
      </c>
      <c r="N78" s="5">
        <v>116.8</v>
      </c>
      <c r="O78" s="5">
        <v>128.6</v>
      </c>
      <c r="P78" s="5">
        <v>123.7</v>
      </c>
      <c r="Q78" s="5">
        <v>128.1</v>
      </c>
      <c r="R78" s="5">
        <v>121.3</v>
      </c>
      <c r="S78" s="5">
        <v>116.5</v>
      </c>
      <c r="T78" s="5">
        <v>120.6</v>
      </c>
      <c r="U78" s="5">
        <v>118.1</v>
      </c>
      <c r="V78" s="5">
        <v>114</v>
      </c>
      <c r="W78" s="5">
        <v>117.7</v>
      </c>
      <c r="X78" s="5">
        <v>114.1</v>
      </c>
      <c r="Y78" s="5">
        <v>106.8</v>
      </c>
      <c r="Z78" s="5">
        <v>114.9</v>
      </c>
      <c r="AA78" s="5">
        <v>120.4</v>
      </c>
      <c r="AB78" s="5">
        <v>111.7</v>
      </c>
      <c r="AC78" s="5">
        <v>113.2</v>
      </c>
      <c r="AD78" s="5">
        <v>118.7</v>
      </c>
    </row>
    <row r="79" spans="1:30" x14ac:dyDescent="0.3">
      <c r="A79" t="s">
        <v>34</v>
      </c>
      <c r="B79" s="3">
        <v>2015</v>
      </c>
      <c r="C79" t="s">
        <v>35</v>
      </c>
      <c r="D79" s="5">
        <v>123.7</v>
      </c>
      <c r="E79" s="5">
        <v>125.1</v>
      </c>
      <c r="F79" s="5">
        <v>121.1</v>
      </c>
      <c r="G79" s="5">
        <v>125.7</v>
      </c>
      <c r="H79" s="5">
        <v>109.1</v>
      </c>
      <c r="I79" s="5">
        <v>125.8</v>
      </c>
      <c r="J79" s="5">
        <v>129.4</v>
      </c>
      <c r="K79" s="5">
        <v>120.9</v>
      </c>
      <c r="L79" s="5">
        <v>98.3</v>
      </c>
      <c r="M79" s="5">
        <v>121.6</v>
      </c>
      <c r="N79" s="5">
        <v>118</v>
      </c>
      <c r="O79" s="5">
        <v>127.6</v>
      </c>
      <c r="P79" s="5">
        <v>123.1</v>
      </c>
      <c r="Q79" s="5">
        <v>125.2</v>
      </c>
      <c r="R79" s="5">
        <v>123.8</v>
      </c>
      <c r="S79" s="5">
        <v>120.1</v>
      </c>
      <c r="T79" s="5">
        <v>123.3</v>
      </c>
      <c r="U79" s="5">
        <v>118.1</v>
      </c>
      <c r="V79" s="5">
        <v>117.7</v>
      </c>
      <c r="W79" s="5">
        <v>118.7</v>
      </c>
      <c r="X79" s="5">
        <v>116.3</v>
      </c>
      <c r="Y79" s="5">
        <v>108.7</v>
      </c>
      <c r="Z79" s="5">
        <v>114.9</v>
      </c>
      <c r="AA79" s="5">
        <v>119.7</v>
      </c>
      <c r="AB79" s="5">
        <v>111.2</v>
      </c>
      <c r="AC79" s="5">
        <v>114.1</v>
      </c>
      <c r="AD79" s="5">
        <v>119.7</v>
      </c>
    </row>
    <row r="80" spans="1:30" x14ac:dyDescent="0.3">
      <c r="A80" t="s">
        <v>30</v>
      </c>
      <c r="B80" s="3">
        <v>2015</v>
      </c>
      <c r="C80" t="s">
        <v>36</v>
      </c>
      <c r="D80" s="5">
        <v>123.3</v>
      </c>
      <c r="E80" s="5">
        <v>124.7</v>
      </c>
      <c r="F80" s="5">
        <v>118.9</v>
      </c>
      <c r="G80" s="5">
        <v>126</v>
      </c>
      <c r="H80" s="5">
        <v>111.8</v>
      </c>
      <c r="I80" s="5">
        <v>130.9</v>
      </c>
      <c r="J80" s="5">
        <v>128</v>
      </c>
      <c r="K80" s="5">
        <v>119.9</v>
      </c>
      <c r="L80" s="5">
        <v>98.9</v>
      </c>
      <c r="M80" s="5">
        <v>119.4</v>
      </c>
      <c r="N80" s="5">
        <v>118.9</v>
      </c>
      <c r="O80" s="5">
        <v>127.7</v>
      </c>
      <c r="P80" s="5">
        <v>123.1</v>
      </c>
      <c r="Q80" s="5">
        <v>124.7</v>
      </c>
      <c r="R80" s="5">
        <v>126</v>
      </c>
      <c r="S80" s="5">
        <v>122.9</v>
      </c>
      <c r="T80" s="5">
        <v>125.5</v>
      </c>
      <c r="U80" s="5" t="s">
        <v>32</v>
      </c>
      <c r="V80" s="5">
        <v>120.6</v>
      </c>
      <c r="W80" s="5">
        <v>120.2</v>
      </c>
      <c r="X80" s="5">
        <v>118.2</v>
      </c>
      <c r="Y80" s="5">
        <v>111.6</v>
      </c>
      <c r="Z80" s="5">
        <v>115.5</v>
      </c>
      <c r="AA80" s="5">
        <v>119.4</v>
      </c>
      <c r="AB80" s="5">
        <v>110.8</v>
      </c>
      <c r="AC80" s="5">
        <v>115.5</v>
      </c>
      <c r="AD80" s="5">
        <v>121.1</v>
      </c>
    </row>
    <row r="81" spans="1:30" x14ac:dyDescent="0.3">
      <c r="A81" t="s">
        <v>33</v>
      </c>
      <c r="B81" s="3">
        <v>2015</v>
      </c>
      <c r="C81" t="s">
        <v>36</v>
      </c>
      <c r="D81" s="5">
        <v>124</v>
      </c>
      <c r="E81" s="5">
        <v>126.7</v>
      </c>
      <c r="F81" s="5">
        <v>113.5</v>
      </c>
      <c r="G81" s="5">
        <v>125.9</v>
      </c>
      <c r="H81" s="5">
        <v>104.8</v>
      </c>
      <c r="I81" s="5">
        <v>123.8</v>
      </c>
      <c r="J81" s="5">
        <v>131.4</v>
      </c>
      <c r="K81" s="5">
        <v>127.2</v>
      </c>
      <c r="L81" s="5">
        <v>93.2</v>
      </c>
      <c r="M81" s="5">
        <v>127.4</v>
      </c>
      <c r="N81" s="5">
        <v>117</v>
      </c>
      <c r="O81" s="5">
        <v>129.19999999999999</v>
      </c>
      <c r="P81" s="5">
        <v>123.9</v>
      </c>
      <c r="Q81" s="5">
        <v>128.80000000000001</v>
      </c>
      <c r="R81" s="5">
        <v>121.7</v>
      </c>
      <c r="S81" s="5">
        <v>116.9</v>
      </c>
      <c r="T81" s="5">
        <v>120.9</v>
      </c>
      <c r="U81" s="5">
        <v>118.6</v>
      </c>
      <c r="V81" s="5">
        <v>114.4</v>
      </c>
      <c r="W81" s="5">
        <v>118</v>
      </c>
      <c r="X81" s="5">
        <v>114.3</v>
      </c>
      <c r="Y81" s="5">
        <v>108.4</v>
      </c>
      <c r="Z81" s="5">
        <v>115.4</v>
      </c>
      <c r="AA81" s="5">
        <v>120.6</v>
      </c>
      <c r="AB81" s="5">
        <v>111.3</v>
      </c>
      <c r="AC81" s="5">
        <v>113.8</v>
      </c>
      <c r="AD81" s="5">
        <v>119.1</v>
      </c>
    </row>
    <row r="82" spans="1:30" x14ac:dyDescent="0.3">
      <c r="A82" t="s">
        <v>34</v>
      </c>
      <c r="B82" s="3">
        <v>2015</v>
      </c>
      <c r="C82" t="s">
        <v>36</v>
      </c>
      <c r="D82" s="5">
        <v>123.5</v>
      </c>
      <c r="E82" s="5">
        <v>125.4</v>
      </c>
      <c r="F82" s="5">
        <v>116.8</v>
      </c>
      <c r="G82" s="5">
        <v>126</v>
      </c>
      <c r="H82" s="5">
        <v>109.2</v>
      </c>
      <c r="I82" s="5">
        <v>127.6</v>
      </c>
      <c r="J82" s="5">
        <v>129.19999999999999</v>
      </c>
      <c r="K82" s="5">
        <v>122.4</v>
      </c>
      <c r="L82" s="5">
        <v>97</v>
      </c>
      <c r="M82" s="5">
        <v>122.1</v>
      </c>
      <c r="N82" s="5">
        <v>118.1</v>
      </c>
      <c r="O82" s="5">
        <v>128.4</v>
      </c>
      <c r="P82" s="5">
        <v>123.4</v>
      </c>
      <c r="Q82" s="5">
        <v>125.8</v>
      </c>
      <c r="R82" s="5">
        <v>124.3</v>
      </c>
      <c r="S82" s="5">
        <v>120.4</v>
      </c>
      <c r="T82" s="5">
        <v>123.7</v>
      </c>
      <c r="U82" s="5">
        <v>118.6</v>
      </c>
      <c r="V82" s="5">
        <v>118.3</v>
      </c>
      <c r="W82" s="5">
        <v>119.2</v>
      </c>
      <c r="X82" s="5">
        <v>116.7</v>
      </c>
      <c r="Y82" s="5">
        <v>109.9</v>
      </c>
      <c r="Z82" s="5">
        <v>115.4</v>
      </c>
      <c r="AA82" s="5">
        <v>120.1</v>
      </c>
      <c r="AB82" s="5">
        <v>111</v>
      </c>
      <c r="AC82" s="5">
        <v>114.7</v>
      </c>
      <c r="AD82" s="5">
        <v>120.2</v>
      </c>
    </row>
    <row r="83" spans="1:30" x14ac:dyDescent="0.3">
      <c r="A83" t="s">
        <v>30</v>
      </c>
      <c r="B83" s="3">
        <v>2015</v>
      </c>
      <c r="C83" t="s">
        <v>37</v>
      </c>
      <c r="D83" s="5">
        <v>123.3</v>
      </c>
      <c r="E83" s="5">
        <v>125.5</v>
      </c>
      <c r="F83" s="5">
        <v>117.2</v>
      </c>
      <c r="G83" s="5">
        <v>126.8</v>
      </c>
      <c r="H83" s="5">
        <v>111.9</v>
      </c>
      <c r="I83" s="5">
        <v>134.19999999999999</v>
      </c>
      <c r="J83" s="5">
        <v>127.5</v>
      </c>
      <c r="K83" s="5">
        <v>121.5</v>
      </c>
      <c r="L83" s="5">
        <v>97.8</v>
      </c>
      <c r="M83" s="5">
        <v>119.8</v>
      </c>
      <c r="N83" s="5">
        <v>119.4</v>
      </c>
      <c r="O83" s="5">
        <v>128.69999999999999</v>
      </c>
      <c r="P83" s="5">
        <v>123.6</v>
      </c>
      <c r="Q83" s="5">
        <v>125.7</v>
      </c>
      <c r="R83" s="5">
        <v>126.4</v>
      </c>
      <c r="S83" s="5">
        <v>123.3</v>
      </c>
      <c r="T83" s="5">
        <v>126</v>
      </c>
      <c r="U83" s="5" t="s">
        <v>32</v>
      </c>
      <c r="V83" s="5">
        <v>121.2</v>
      </c>
      <c r="W83" s="5">
        <v>120.9</v>
      </c>
      <c r="X83" s="5">
        <v>118.6</v>
      </c>
      <c r="Y83" s="5">
        <v>111.9</v>
      </c>
      <c r="Z83" s="5">
        <v>116.2</v>
      </c>
      <c r="AA83" s="5">
        <v>119.9</v>
      </c>
      <c r="AB83" s="5">
        <v>111.6</v>
      </c>
      <c r="AC83" s="5">
        <v>116</v>
      </c>
      <c r="AD83" s="5">
        <v>121.5</v>
      </c>
    </row>
    <row r="84" spans="1:30" x14ac:dyDescent="0.3">
      <c r="A84" t="s">
        <v>33</v>
      </c>
      <c r="B84" s="3">
        <v>2015</v>
      </c>
      <c r="C84" t="s">
        <v>37</v>
      </c>
      <c r="D84" s="5">
        <v>123.8</v>
      </c>
      <c r="E84" s="5">
        <v>128.19999999999999</v>
      </c>
      <c r="F84" s="5">
        <v>110</v>
      </c>
      <c r="G84" s="5">
        <v>126.3</v>
      </c>
      <c r="H84" s="5">
        <v>104.5</v>
      </c>
      <c r="I84" s="5">
        <v>130.6</v>
      </c>
      <c r="J84" s="5">
        <v>130.80000000000001</v>
      </c>
      <c r="K84" s="5">
        <v>131.30000000000001</v>
      </c>
      <c r="L84" s="5">
        <v>91.6</v>
      </c>
      <c r="M84" s="5">
        <v>127.7</v>
      </c>
      <c r="N84" s="5">
        <v>117.2</v>
      </c>
      <c r="O84" s="5">
        <v>129.5</v>
      </c>
      <c r="P84" s="5">
        <v>124.6</v>
      </c>
      <c r="Q84" s="5">
        <v>130.1</v>
      </c>
      <c r="R84" s="5">
        <v>122.1</v>
      </c>
      <c r="S84" s="5">
        <v>117.2</v>
      </c>
      <c r="T84" s="5">
        <v>121.3</v>
      </c>
      <c r="U84" s="5">
        <v>119.2</v>
      </c>
      <c r="V84" s="5">
        <v>114.7</v>
      </c>
      <c r="W84" s="5">
        <v>118.4</v>
      </c>
      <c r="X84" s="5">
        <v>114.6</v>
      </c>
      <c r="Y84" s="5">
        <v>108.4</v>
      </c>
      <c r="Z84" s="5">
        <v>115.6</v>
      </c>
      <c r="AA84" s="5">
        <v>121.7</v>
      </c>
      <c r="AB84" s="5">
        <v>111.8</v>
      </c>
      <c r="AC84" s="5">
        <v>114.2</v>
      </c>
      <c r="AD84" s="5">
        <v>119.7</v>
      </c>
    </row>
    <row r="85" spans="1:30" x14ac:dyDescent="0.3">
      <c r="A85" t="s">
        <v>34</v>
      </c>
      <c r="B85" s="3">
        <v>2015</v>
      </c>
      <c r="C85" t="s">
        <v>37</v>
      </c>
      <c r="D85" s="5">
        <v>123.5</v>
      </c>
      <c r="E85" s="5">
        <v>126.4</v>
      </c>
      <c r="F85" s="5">
        <v>114.4</v>
      </c>
      <c r="G85" s="5">
        <v>126.6</v>
      </c>
      <c r="H85" s="5">
        <v>109.2</v>
      </c>
      <c r="I85" s="5">
        <v>132.5</v>
      </c>
      <c r="J85" s="5">
        <v>128.6</v>
      </c>
      <c r="K85" s="5">
        <v>124.8</v>
      </c>
      <c r="L85" s="5">
        <v>95.7</v>
      </c>
      <c r="M85" s="5">
        <v>122.4</v>
      </c>
      <c r="N85" s="5">
        <v>118.5</v>
      </c>
      <c r="O85" s="5">
        <v>129.1</v>
      </c>
      <c r="P85" s="5">
        <v>124</v>
      </c>
      <c r="Q85" s="5">
        <v>126.9</v>
      </c>
      <c r="R85" s="5">
        <v>124.7</v>
      </c>
      <c r="S85" s="5">
        <v>120.8</v>
      </c>
      <c r="T85" s="5">
        <v>124.1</v>
      </c>
      <c r="U85" s="5">
        <v>119.2</v>
      </c>
      <c r="V85" s="5">
        <v>118.7</v>
      </c>
      <c r="W85" s="5">
        <v>119.7</v>
      </c>
      <c r="X85" s="5">
        <v>117.1</v>
      </c>
      <c r="Y85" s="5">
        <v>110.1</v>
      </c>
      <c r="Z85" s="5">
        <v>115.9</v>
      </c>
      <c r="AA85" s="5">
        <v>121</v>
      </c>
      <c r="AB85" s="5">
        <v>111.7</v>
      </c>
      <c r="AC85" s="5">
        <v>115.1</v>
      </c>
      <c r="AD85" s="5">
        <v>120.7</v>
      </c>
    </row>
    <row r="86" spans="1:30" x14ac:dyDescent="0.3">
      <c r="A86" t="s">
        <v>30</v>
      </c>
      <c r="B86" s="3">
        <v>2015</v>
      </c>
      <c r="C86" t="s">
        <v>38</v>
      </c>
      <c r="D86" s="5">
        <v>123.5</v>
      </c>
      <c r="E86" s="5">
        <v>127.1</v>
      </c>
      <c r="F86" s="5">
        <v>117.3</v>
      </c>
      <c r="G86" s="5">
        <v>127.7</v>
      </c>
      <c r="H86" s="5">
        <v>112.5</v>
      </c>
      <c r="I86" s="5">
        <v>134.1</v>
      </c>
      <c r="J86" s="5">
        <v>128.5</v>
      </c>
      <c r="K86" s="5">
        <v>124.3</v>
      </c>
      <c r="L86" s="5">
        <v>97.6</v>
      </c>
      <c r="M86" s="5">
        <v>120.7</v>
      </c>
      <c r="N86" s="5">
        <v>120.2</v>
      </c>
      <c r="O86" s="5">
        <v>129.80000000000001</v>
      </c>
      <c r="P86" s="5">
        <v>124.4</v>
      </c>
      <c r="Q86" s="5">
        <v>126.7</v>
      </c>
      <c r="R86" s="5">
        <v>127.3</v>
      </c>
      <c r="S86" s="5">
        <v>124.1</v>
      </c>
      <c r="T86" s="5">
        <v>126.8</v>
      </c>
      <c r="U86" s="5" t="s">
        <v>32</v>
      </c>
      <c r="V86" s="5">
        <v>121.9</v>
      </c>
      <c r="W86" s="5">
        <v>121.5</v>
      </c>
      <c r="X86" s="5">
        <v>119.4</v>
      </c>
      <c r="Y86" s="5">
        <v>113.3</v>
      </c>
      <c r="Z86" s="5">
        <v>116.7</v>
      </c>
      <c r="AA86" s="5">
        <v>120.5</v>
      </c>
      <c r="AB86" s="5">
        <v>112.3</v>
      </c>
      <c r="AC86" s="5">
        <v>116.9</v>
      </c>
      <c r="AD86" s="5">
        <v>122.4</v>
      </c>
    </row>
    <row r="87" spans="1:30" x14ac:dyDescent="0.3">
      <c r="A87" t="s">
        <v>33</v>
      </c>
      <c r="B87" s="3">
        <v>2015</v>
      </c>
      <c r="C87" t="s">
        <v>38</v>
      </c>
      <c r="D87" s="5">
        <v>123.8</v>
      </c>
      <c r="E87" s="5">
        <v>129.69999999999999</v>
      </c>
      <c r="F87" s="5">
        <v>111.3</v>
      </c>
      <c r="G87" s="5">
        <v>126.6</v>
      </c>
      <c r="H87" s="5">
        <v>105.2</v>
      </c>
      <c r="I87" s="5">
        <v>130.80000000000001</v>
      </c>
      <c r="J87" s="5">
        <v>135.6</v>
      </c>
      <c r="K87" s="5">
        <v>142.6</v>
      </c>
      <c r="L87" s="5">
        <v>90.8</v>
      </c>
      <c r="M87" s="5">
        <v>128.80000000000001</v>
      </c>
      <c r="N87" s="5">
        <v>117.7</v>
      </c>
      <c r="O87" s="5">
        <v>129.9</v>
      </c>
      <c r="P87" s="5">
        <v>126.1</v>
      </c>
      <c r="Q87" s="5">
        <v>131.30000000000001</v>
      </c>
      <c r="R87" s="5">
        <v>122.4</v>
      </c>
      <c r="S87" s="5">
        <v>117.4</v>
      </c>
      <c r="T87" s="5">
        <v>121.6</v>
      </c>
      <c r="U87" s="5">
        <v>119.6</v>
      </c>
      <c r="V87" s="5">
        <v>114.9</v>
      </c>
      <c r="W87" s="5">
        <v>118.7</v>
      </c>
      <c r="X87" s="5">
        <v>114.9</v>
      </c>
      <c r="Y87" s="5">
        <v>110.8</v>
      </c>
      <c r="Z87" s="5">
        <v>116</v>
      </c>
      <c r="AA87" s="5">
        <v>122</v>
      </c>
      <c r="AB87" s="5">
        <v>112.4</v>
      </c>
      <c r="AC87" s="5">
        <v>115.2</v>
      </c>
      <c r="AD87" s="5">
        <v>120.7</v>
      </c>
    </row>
    <row r="88" spans="1:30" x14ac:dyDescent="0.3">
      <c r="A88" t="s">
        <v>34</v>
      </c>
      <c r="B88" s="3">
        <v>2015</v>
      </c>
      <c r="C88" t="s">
        <v>38</v>
      </c>
      <c r="D88" s="5">
        <v>123.6</v>
      </c>
      <c r="E88" s="5">
        <v>128</v>
      </c>
      <c r="F88" s="5">
        <v>115</v>
      </c>
      <c r="G88" s="5">
        <v>127.3</v>
      </c>
      <c r="H88" s="5">
        <v>109.8</v>
      </c>
      <c r="I88" s="5">
        <v>132.6</v>
      </c>
      <c r="J88" s="5">
        <v>130.9</v>
      </c>
      <c r="K88" s="5">
        <v>130.5</v>
      </c>
      <c r="L88" s="5">
        <v>95.3</v>
      </c>
      <c r="M88" s="5">
        <v>123.4</v>
      </c>
      <c r="N88" s="5">
        <v>119.2</v>
      </c>
      <c r="O88" s="5">
        <v>129.80000000000001</v>
      </c>
      <c r="P88" s="5">
        <v>125</v>
      </c>
      <c r="Q88" s="5">
        <v>127.9</v>
      </c>
      <c r="R88" s="5">
        <v>125.4</v>
      </c>
      <c r="S88" s="5">
        <v>121.3</v>
      </c>
      <c r="T88" s="5">
        <v>124.7</v>
      </c>
      <c r="U88" s="5">
        <v>119.6</v>
      </c>
      <c r="V88" s="5">
        <v>119.2</v>
      </c>
      <c r="W88" s="5">
        <v>120.2</v>
      </c>
      <c r="X88" s="5">
        <v>117.7</v>
      </c>
      <c r="Y88" s="5">
        <v>112</v>
      </c>
      <c r="Z88" s="5">
        <v>116.3</v>
      </c>
      <c r="AA88" s="5">
        <v>121.4</v>
      </c>
      <c r="AB88" s="5">
        <v>112.3</v>
      </c>
      <c r="AC88" s="5">
        <v>116.1</v>
      </c>
      <c r="AD88" s="5">
        <v>121.6</v>
      </c>
    </row>
    <row r="89" spans="1:30" x14ac:dyDescent="0.3">
      <c r="A89" t="s">
        <v>30</v>
      </c>
      <c r="B89" s="3">
        <v>2015</v>
      </c>
      <c r="C89" t="s">
        <v>39</v>
      </c>
      <c r="D89" s="5">
        <v>124.1</v>
      </c>
      <c r="E89" s="5">
        <v>130.4</v>
      </c>
      <c r="F89" s="5">
        <v>122.1</v>
      </c>
      <c r="G89" s="5">
        <v>128.69999999999999</v>
      </c>
      <c r="H89" s="5">
        <v>114.1</v>
      </c>
      <c r="I89" s="5">
        <v>133.19999999999999</v>
      </c>
      <c r="J89" s="5">
        <v>135.19999999999999</v>
      </c>
      <c r="K89" s="5">
        <v>131.9</v>
      </c>
      <c r="L89" s="5">
        <v>96.3</v>
      </c>
      <c r="M89" s="5">
        <v>123</v>
      </c>
      <c r="N89" s="5">
        <v>121.1</v>
      </c>
      <c r="O89" s="5">
        <v>131.19999999999999</v>
      </c>
      <c r="P89" s="5">
        <v>126.6</v>
      </c>
      <c r="Q89" s="5">
        <v>128.19999999999999</v>
      </c>
      <c r="R89" s="5">
        <v>128.4</v>
      </c>
      <c r="S89" s="5">
        <v>125.1</v>
      </c>
      <c r="T89" s="5">
        <v>128</v>
      </c>
      <c r="U89" s="5" t="s">
        <v>32</v>
      </c>
      <c r="V89" s="5">
        <v>122.6</v>
      </c>
      <c r="W89" s="5">
        <v>122.8</v>
      </c>
      <c r="X89" s="5">
        <v>120.4</v>
      </c>
      <c r="Y89" s="5">
        <v>114.2</v>
      </c>
      <c r="Z89" s="5">
        <v>117.9</v>
      </c>
      <c r="AA89" s="5">
        <v>122</v>
      </c>
      <c r="AB89" s="5">
        <v>113</v>
      </c>
      <c r="AC89" s="5">
        <v>117.9</v>
      </c>
      <c r="AD89" s="5">
        <v>124.1</v>
      </c>
    </row>
    <row r="90" spans="1:30" x14ac:dyDescent="0.3">
      <c r="A90" t="s">
        <v>33</v>
      </c>
      <c r="B90" s="3">
        <v>2015</v>
      </c>
      <c r="C90" t="s">
        <v>39</v>
      </c>
      <c r="D90" s="5">
        <v>123.6</v>
      </c>
      <c r="E90" s="5">
        <v>134.4</v>
      </c>
      <c r="F90" s="5">
        <v>120.9</v>
      </c>
      <c r="G90" s="5">
        <v>127.3</v>
      </c>
      <c r="H90" s="5">
        <v>106</v>
      </c>
      <c r="I90" s="5">
        <v>132.30000000000001</v>
      </c>
      <c r="J90" s="5">
        <v>146.69999999999999</v>
      </c>
      <c r="K90" s="5">
        <v>148.1</v>
      </c>
      <c r="L90" s="5">
        <v>89.8</v>
      </c>
      <c r="M90" s="5">
        <v>130.5</v>
      </c>
      <c r="N90" s="5">
        <v>118</v>
      </c>
      <c r="O90" s="5">
        <v>130.5</v>
      </c>
      <c r="P90" s="5">
        <v>128.5</v>
      </c>
      <c r="Q90" s="5">
        <v>132.1</v>
      </c>
      <c r="R90" s="5">
        <v>123.2</v>
      </c>
      <c r="S90" s="5">
        <v>117.6</v>
      </c>
      <c r="T90" s="5">
        <v>122.3</v>
      </c>
      <c r="U90" s="5">
        <v>119</v>
      </c>
      <c r="V90" s="5">
        <v>115.1</v>
      </c>
      <c r="W90" s="5">
        <v>119.2</v>
      </c>
      <c r="X90" s="5">
        <v>115.4</v>
      </c>
      <c r="Y90" s="5">
        <v>111.7</v>
      </c>
      <c r="Z90" s="5">
        <v>116.2</v>
      </c>
      <c r="AA90" s="5">
        <v>123.8</v>
      </c>
      <c r="AB90" s="5">
        <v>112.5</v>
      </c>
      <c r="AC90" s="5">
        <v>116</v>
      </c>
      <c r="AD90" s="5">
        <v>121.7</v>
      </c>
    </row>
    <row r="91" spans="1:30" x14ac:dyDescent="0.3">
      <c r="A91" t="s">
        <v>34</v>
      </c>
      <c r="B91" s="3">
        <v>2015</v>
      </c>
      <c r="C91" t="s">
        <v>39</v>
      </c>
      <c r="D91" s="5">
        <v>123.9</v>
      </c>
      <c r="E91" s="5">
        <v>131.80000000000001</v>
      </c>
      <c r="F91" s="5">
        <v>121.6</v>
      </c>
      <c r="G91" s="5">
        <v>128.19999999999999</v>
      </c>
      <c r="H91" s="5">
        <v>111.1</v>
      </c>
      <c r="I91" s="5">
        <v>132.80000000000001</v>
      </c>
      <c r="J91" s="5">
        <v>139.1</v>
      </c>
      <c r="K91" s="5">
        <v>137.4</v>
      </c>
      <c r="L91" s="5">
        <v>94.1</v>
      </c>
      <c r="M91" s="5">
        <v>125.5</v>
      </c>
      <c r="N91" s="5">
        <v>119.8</v>
      </c>
      <c r="O91" s="5">
        <v>130.9</v>
      </c>
      <c r="P91" s="5">
        <v>127.3</v>
      </c>
      <c r="Q91" s="5">
        <v>129.19999999999999</v>
      </c>
      <c r="R91" s="5">
        <v>126.4</v>
      </c>
      <c r="S91" s="5">
        <v>122</v>
      </c>
      <c r="T91" s="5">
        <v>125.7</v>
      </c>
      <c r="U91" s="5">
        <v>119</v>
      </c>
      <c r="V91" s="5">
        <v>119.8</v>
      </c>
      <c r="W91" s="5">
        <v>121.1</v>
      </c>
      <c r="X91" s="5">
        <v>118.5</v>
      </c>
      <c r="Y91" s="5">
        <v>112.9</v>
      </c>
      <c r="Z91" s="5">
        <v>116.9</v>
      </c>
      <c r="AA91" s="5">
        <v>123.1</v>
      </c>
      <c r="AB91" s="5">
        <v>112.8</v>
      </c>
      <c r="AC91" s="5">
        <v>117</v>
      </c>
      <c r="AD91" s="5">
        <v>123</v>
      </c>
    </row>
    <row r="92" spans="1:30" x14ac:dyDescent="0.3">
      <c r="A92" t="s">
        <v>30</v>
      </c>
      <c r="B92" s="3">
        <v>2015</v>
      </c>
      <c r="C92" t="s">
        <v>40</v>
      </c>
      <c r="D92" s="5">
        <v>124</v>
      </c>
      <c r="E92" s="5">
        <v>131.5</v>
      </c>
      <c r="F92" s="5">
        <v>122</v>
      </c>
      <c r="G92" s="5">
        <v>128.69999999999999</v>
      </c>
      <c r="H92" s="5">
        <v>113.5</v>
      </c>
      <c r="I92" s="5">
        <v>133.30000000000001</v>
      </c>
      <c r="J92" s="5">
        <v>140.80000000000001</v>
      </c>
      <c r="K92" s="5">
        <v>133.80000000000001</v>
      </c>
      <c r="L92" s="5">
        <v>94.1</v>
      </c>
      <c r="M92" s="5">
        <v>123.4</v>
      </c>
      <c r="N92" s="5">
        <v>121</v>
      </c>
      <c r="O92" s="5">
        <v>131.69999999999999</v>
      </c>
      <c r="P92" s="5">
        <v>127.5</v>
      </c>
      <c r="Q92" s="5">
        <v>129.4</v>
      </c>
      <c r="R92" s="5">
        <v>128.80000000000001</v>
      </c>
      <c r="S92" s="5">
        <v>125.5</v>
      </c>
      <c r="T92" s="5">
        <v>128.30000000000001</v>
      </c>
      <c r="U92" s="5" t="s">
        <v>32</v>
      </c>
      <c r="V92" s="5">
        <v>123</v>
      </c>
      <c r="W92" s="5">
        <v>123</v>
      </c>
      <c r="X92" s="5">
        <v>120.8</v>
      </c>
      <c r="Y92" s="5">
        <v>114.1</v>
      </c>
      <c r="Z92" s="5">
        <v>118</v>
      </c>
      <c r="AA92" s="5">
        <v>122.9</v>
      </c>
      <c r="AB92" s="5">
        <v>112.7</v>
      </c>
      <c r="AC92" s="5">
        <v>118.1</v>
      </c>
      <c r="AD92" s="5">
        <v>124.7</v>
      </c>
    </row>
    <row r="93" spans="1:30" x14ac:dyDescent="0.3">
      <c r="A93" t="s">
        <v>33</v>
      </c>
      <c r="B93" s="3">
        <v>2015</v>
      </c>
      <c r="C93" t="s">
        <v>40</v>
      </c>
      <c r="D93" s="5">
        <v>123.2</v>
      </c>
      <c r="E93" s="5">
        <v>134.30000000000001</v>
      </c>
      <c r="F93" s="5">
        <v>119.5</v>
      </c>
      <c r="G93" s="5">
        <v>127.7</v>
      </c>
      <c r="H93" s="5">
        <v>106.3</v>
      </c>
      <c r="I93" s="5">
        <v>132.80000000000001</v>
      </c>
      <c r="J93" s="5">
        <v>153.5</v>
      </c>
      <c r="K93" s="5">
        <v>149.5</v>
      </c>
      <c r="L93" s="5">
        <v>85.7</v>
      </c>
      <c r="M93" s="5">
        <v>131.5</v>
      </c>
      <c r="N93" s="5">
        <v>118.3</v>
      </c>
      <c r="O93" s="5">
        <v>131.1</v>
      </c>
      <c r="P93" s="5">
        <v>129.5</v>
      </c>
      <c r="Q93" s="5">
        <v>133.1</v>
      </c>
      <c r="R93" s="5">
        <v>123.5</v>
      </c>
      <c r="S93" s="5">
        <v>117.9</v>
      </c>
      <c r="T93" s="5">
        <v>122.7</v>
      </c>
      <c r="U93" s="5">
        <v>119.9</v>
      </c>
      <c r="V93" s="5">
        <v>115.3</v>
      </c>
      <c r="W93" s="5">
        <v>119.5</v>
      </c>
      <c r="X93" s="5">
        <v>116</v>
      </c>
      <c r="Y93" s="5">
        <v>111.5</v>
      </c>
      <c r="Z93" s="5">
        <v>116.6</v>
      </c>
      <c r="AA93" s="5">
        <v>125.4</v>
      </c>
      <c r="AB93" s="5">
        <v>111.7</v>
      </c>
      <c r="AC93" s="5">
        <v>116.3</v>
      </c>
      <c r="AD93" s="5">
        <v>122.4</v>
      </c>
    </row>
    <row r="94" spans="1:30" x14ac:dyDescent="0.3">
      <c r="A94" t="s">
        <v>34</v>
      </c>
      <c r="B94" s="3">
        <v>2015</v>
      </c>
      <c r="C94" t="s">
        <v>40</v>
      </c>
      <c r="D94" s="5">
        <v>123.7</v>
      </c>
      <c r="E94" s="5">
        <v>132.5</v>
      </c>
      <c r="F94" s="5">
        <v>121</v>
      </c>
      <c r="G94" s="5">
        <v>128.30000000000001</v>
      </c>
      <c r="H94" s="5">
        <v>110.9</v>
      </c>
      <c r="I94" s="5">
        <v>133.1</v>
      </c>
      <c r="J94" s="5">
        <v>145.1</v>
      </c>
      <c r="K94" s="5">
        <v>139.1</v>
      </c>
      <c r="L94" s="5">
        <v>91.3</v>
      </c>
      <c r="M94" s="5">
        <v>126.1</v>
      </c>
      <c r="N94" s="5">
        <v>119.9</v>
      </c>
      <c r="O94" s="5">
        <v>131.4</v>
      </c>
      <c r="P94" s="5">
        <v>128.19999999999999</v>
      </c>
      <c r="Q94" s="5">
        <v>130.4</v>
      </c>
      <c r="R94" s="5">
        <v>126.7</v>
      </c>
      <c r="S94" s="5">
        <v>122.3</v>
      </c>
      <c r="T94" s="5">
        <v>126.1</v>
      </c>
      <c r="U94" s="5">
        <v>119.9</v>
      </c>
      <c r="V94" s="5">
        <v>120.1</v>
      </c>
      <c r="W94" s="5">
        <v>121.3</v>
      </c>
      <c r="X94" s="5">
        <v>119</v>
      </c>
      <c r="Y94" s="5">
        <v>112.7</v>
      </c>
      <c r="Z94" s="5">
        <v>117.2</v>
      </c>
      <c r="AA94" s="5">
        <v>124.4</v>
      </c>
      <c r="AB94" s="5">
        <v>112.3</v>
      </c>
      <c r="AC94" s="5">
        <v>117.2</v>
      </c>
      <c r="AD94" s="5">
        <v>123.6</v>
      </c>
    </row>
    <row r="95" spans="1:30" x14ac:dyDescent="0.3">
      <c r="A95" t="s">
        <v>30</v>
      </c>
      <c r="B95" s="3">
        <v>2015</v>
      </c>
      <c r="C95" t="s">
        <v>41</v>
      </c>
      <c r="D95" s="5">
        <v>124.7</v>
      </c>
      <c r="E95" s="5">
        <v>131.30000000000001</v>
      </c>
      <c r="F95" s="5">
        <v>121.3</v>
      </c>
      <c r="G95" s="5">
        <v>128.80000000000001</v>
      </c>
      <c r="H95" s="5">
        <v>114</v>
      </c>
      <c r="I95" s="5">
        <v>134.19999999999999</v>
      </c>
      <c r="J95" s="5">
        <v>153.6</v>
      </c>
      <c r="K95" s="5">
        <v>137.9</v>
      </c>
      <c r="L95" s="5">
        <v>93.1</v>
      </c>
      <c r="M95" s="5">
        <v>123.9</v>
      </c>
      <c r="N95" s="5">
        <v>121.5</v>
      </c>
      <c r="O95" s="5">
        <v>132.5</v>
      </c>
      <c r="P95" s="5">
        <v>129.80000000000001</v>
      </c>
      <c r="Q95" s="5">
        <v>130.1</v>
      </c>
      <c r="R95" s="5">
        <v>129.5</v>
      </c>
      <c r="S95" s="5">
        <v>126.3</v>
      </c>
      <c r="T95" s="5">
        <v>129</v>
      </c>
      <c r="U95" s="5" t="s">
        <v>32</v>
      </c>
      <c r="V95" s="5">
        <v>123.8</v>
      </c>
      <c r="W95" s="5">
        <v>123.7</v>
      </c>
      <c r="X95" s="5">
        <v>121.1</v>
      </c>
      <c r="Y95" s="5">
        <v>113.6</v>
      </c>
      <c r="Z95" s="5">
        <v>118.5</v>
      </c>
      <c r="AA95" s="5">
        <v>123.6</v>
      </c>
      <c r="AB95" s="5">
        <v>112.5</v>
      </c>
      <c r="AC95" s="5">
        <v>118.2</v>
      </c>
      <c r="AD95" s="5">
        <v>126.1</v>
      </c>
    </row>
    <row r="96" spans="1:30" x14ac:dyDescent="0.3">
      <c r="A96" t="s">
        <v>33</v>
      </c>
      <c r="B96" s="3">
        <v>2015</v>
      </c>
      <c r="C96" t="s">
        <v>41</v>
      </c>
      <c r="D96" s="5">
        <v>123.1</v>
      </c>
      <c r="E96" s="5">
        <v>131.69999999999999</v>
      </c>
      <c r="F96" s="5">
        <v>118.1</v>
      </c>
      <c r="G96" s="5">
        <v>128</v>
      </c>
      <c r="H96" s="5">
        <v>106.8</v>
      </c>
      <c r="I96" s="5">
        <v>130.1</v>
      </c>
      <c r="J96" s="5">
        <v>165.5</v>
      </c>
      <c r="K96" s="5">
        <v>156</v>
      </c>
      <c r="L96" s="5">
        <v>85.3</v>
      </c>
      <c r="M96" s="5">
        <v>132.69999999999999</v>
      </c>
      <c r="N96" s="5">
        <v>118.8</v>
      </c>
      <c r="O96" s="5">
        <v>131.69999999999999</v>
      </c>
      <c r="P96" s="5">
        <v>131.1</v>
      </c>
      <c r="Q96" s="5">
        <v>134.19999999999999</v>
      </c>
      <c r="R96" s="5">
        <v>123.7</v>
      </c>
      <c r="S96" s="5">
        <v>118.2</v>
      </c>
      <c r="T96" s="5">
        <v>122.9</v>
      </c>
      <c r="U96" s="5">
        <v>120.9</v>
      </c>
      <c r="V96" s="5">
        <v>115.3</v>
      </c>
      <c r="W96" s="5">
        <v>120</v>
      </c>
      <c r="X96" s="5">
        <v>116.6</v>
      </c>
      <c r="Y96" s="5">
        <v>109.9</v>
      </c>
      <c r="Z96" s="5">
        <v>117.2</v>
      </c>
      <c r="AA96" s="5">
        <v>126.2</v>
      </c>
      <c r="AB96" s="5">
        <v>112</v>
      </c>
      <c r="AC96" s="5">
        <v>116.2</v>
      </c>
      <c r="AD96" s="5">
        <v>123.2</v>
      </c>
    </row>
    <row r="97" spans="1:30" x14ac:dyDescent="0.3">
      <c r="A97" t="s">
        <v>34</v>
      </c>
      <c r="B97" s="3">
        <v>2015</v>
      </c>
      <c r="C97" t="s">
        <v>41</v>
      </c>
      <c r="D97" s="5">
        <v>124.2</v>
      </c>
      <c r="E97" s="5">
        <v>131.4</v>
      </c>
      <c r="F97" s="5">
        <v>120.1</v>
      </c>
      <c r="G97" s="5">
        <v>128.5</v>
      </c>
      <c r="H97" s="5">
        <v>111.4</v>
      </c>
      <c r="I97" s="5">
        <v>132.30000000000001</v>
      </c>
      <c r="J97" s="5">
        <v>157.6</v>
      </c>
      <c r="K97" s="5">
        <v>144</v>
      </c>
      <c r="L97" s="5">
        <v>90.5</v>
      </c>
      <c r="M97" s="5">
        <v>126.8</v>
      </c>
      <c r="N97" s="5">
        <v>120.4</v>
      </c>
      <c r="O97" s="5">
        <v>132.1</v>
      </c>
      <c r="P97" s="5">
        <v>130.30000000000001</v>
      </c>
      <c r="Q97" s="5">
        <v>131.19999999999999</v>
      </c>
      <c r="R97" s="5">
        <v>127.2</v>
      </c>
      <c r="S97" s="5">
        <v>122.9</v>
      </c>
      <c r="T97" s="5">
        <v>126.6</v>
      </c>
      <c r="U97" s="5">
        <v>120.9</v>
      </c>
      <c r="V97" s="5">
        <v>120.6</v>
      </c>
      <c r="W97" s="5">
        <v>122</v>
      </c>
      <c r="X97" s="5">
        <v>119.4</v>
      </c>
      <c r="Y97" s="5">
        <v>111.7</v>
      </c>
      <c r="Z97" s="5">
        <v>117.8</v>
      </c>
      <c r="AA97" s="5">
        <v>125.1</v>
      </c>
      <c r="AB97" s="5">
        <v>112.3</v>
      </c>
      <c r="AC97" s="5">
        <v>117.2</v>
      </c>
      <c r="AD97" s="5">
        <v>124.8</v>
      </c>
    </row>
    <row r="98" spans="1:30" x14ac:dyDescent="0.3">
      <c r="A98" t="s">
        <v>30</v>
      </c>
      <c r="B98" s="3">
        <v>2015</v>
      </c>
      <c r="C98" t="s">
        <v>42</v>
      </c>
      <c r="D98" s="5">
        <v>125.1</v>
      </c>
      <c r="E98" s="5">
        <v>131.1</v>
      </c>
      <c r="F98" s="5">
        <v>120.7</v>
      </c>
      <c r="G98" s="5">
        <v>129.19999999999999</v>
      </c>
      <c r="H98" s="5">
        <v>114.7</v>
      </c>
      <c r="I98" s="5">
        <v>132.30000000000001</v>
      </c>
      <c r="J98" s="5">
        <v>158.9</v>
      </c>
      <c r="K98" s="5">
        <v>142.1</v>
      </c>
      <c r="L98" s="5">
        <v>92.5</v>
      </c>
      <c r="M98" s="5">
        <v>125.4</v>
      </c>
      <c r="N98" s="5">
        <v>121.9</v>
      </c>
      <c r="O98" s="5">
        <v>132.69999999999999</v>
      </c>
      <c r="P98" s="5">
        <v>131</v>
      </c>
      <c r="Q98" s="5">
        <v>131</v>
      </c>
      <c r="R98" s="5">
        <v>130.4</v>
      </c>
      <c r="S98" s="5">
        <v>126.8</v>
      </c>
      <c r="T98" s="5">
        <v>129.9</v>
      </c>
      <c r="U98" s="5" t="s">
        <v>32</v>
      </c>
      <c r="V98" s="5">
        <v>123.7</v>
      </c>
      <c r="W98" s="5">
        <v>124.5</v>
      </c>
      <c r="X98" s="5">
        <v>121.4</v>
      </c>
      <c r="Y98" s="5">
        <v>113.8</v>
      </c>
      <c r="Z98" s="5">
        <v>119.6</v>
      </c>
      <c r="AA98" s="5">
        <v>124.5</v>
      </c>
      <c r="AB98" s="5">
        <v>113.7</v>
      </c>
      <c r="AC98" s="5">
        <v>118.8</v>
      </c>
      <c r="AD98" s="5">
        <v>127</v>
      </c>
    </row>
    <row r="99" spans="1:30" x14ac:dyDescent="0.3">
      <c r="A99" t="s">
        <v>33</v>
      </c>
      <c r="B99" s="3">
        <v>2015</v>
      </c>
      <c r="C99" t="s">
        <v>42</v>
      </c>
      <c r="D99" s="5">
        <v>123.4</v>
      </c>
      <c r="E99" s="5">
        <v>129</v>
      </c>
      <c r="F99" s="5">
        <v>115.6</v>
      </c>
      <c r="G99" s="5">
        <v>128.30000000000001</v>
      </c>
      <c r="H99" s="5">
        <v>107</v>
      </c>
      <c r="I99" s="5">
        <v>124</v>
      </c>
      <c r="J99" s="5">
        <v>168.5</v>
      </c>
      <c r="K99" s="5">
        <v>165.4</v>
      </c>
      <c r="L99" s="5">
        <v>86.3</v>
      </c>
      <c r="M99" s="5">
        <v>134.4</v>
      </c>
      <c r="N99" s="5">
        <v>119.1</v>
      </c>
      <c r="O99" s="5">
        <v>132.30000000000001</v>
      </c>
      <c r="P99" s="5">
        <v>131.5</v>
      </c>
      <c r="Q99" s="5">
        <v>134.69999999999999</v>
      </c>
      <c r="R99" s="5">
        <v>124</v>
      </c>
      <c r="S99" s="5">
        <v>118.6</v>
      </c>
      <c r="T99" s="5">
        <v>123.2</v>
      </c>
      <c r="U99" s="5">
        <v>121.6</v>
      </c>
      <c r="V99" s="5">
        <v>115.1</v>
      </c>
      <c r="W99" s="5">
        <v>120.4</v>
      </c>
      <c r="X99" s="5">
        <v>117.1</v>
      </c>
      <c r="Y99" s="5">
        <v>109.1</v>
      </c>
      <c r="Z99" s="5">
        <v>117.3</v>
      </c>
      <c r="AA99" s="5">
        <v>126.5</v>
      </c>
      <c r="AB99" s="5">
        <v>112.9</v>
      </c>
      <c r="AC99" s="5">
        <v>116.2</v>
      </c>
      <c r="AD99" s="5">
        <v>123.5</v>
      </c>
    </row>
    <row r="100" spans="1:30" x14ac:dyDescent="0.3">
      <c r="A100" t="s">
        <v>34</v>
      </c>
      <c r="B100" s="3">
        <v>2015</v>
      </c>
      <c r="C100" t="s">
        <v>42</v>
      </c>
      <c r="D100" s="5">
        <v>124.6</v>
      </c>
      <c r="E100" s="5">
        <v>130.4</v>
      </c>
      <c r="F100" s="5">
        <v>118.7</v>
      </c>
      <c r="G100" s="5">
        <v>128.9</v>
      </c>
      <c r="H100" s="5">
        <v>111.9</v>
      </c>
      <c r="I100" s="5">
        <v>128.4</v>
      </c>
      <c r="J100" s="5">
        <v>162.19999999999999</v>
      </c>
      <c r="K100" s="5">
        <v>150</v>
      </c>
      <c r="L100" s="5">
        <v>90.4</v>
      </c>
      <c r="M100" s="5">
        <v>128.4</v>
      </c>
      <c r="N100" s="5">
        <v>120.7</v>
      </c>
      <c r="O100" s="5">
        <v>132.5</v>
      </c>
      <c r="P100" s="5">
        <v>131.19999999999999</v>
      </c>
      <c r="Q100" s="5">
        <v>132</v>
      </c>
      <c r="R100" s="5">
        <v>127.9</v>
      </c>
      <c r="S100" s="5">
        <v>123.4</v>
      </c>
      <c r="T100" s="5">
        <v>127.2</v>
      </c>
      <c r="U100" s="5">
        <v>121.6</v>
      </c>
      <c r="V100" s="5">
        <v>120.4</v>
      </c>
      <c r="W100" s="5">
        <v>122.6</v>
      </c>
      <c r="X100" s="5">
        <v>119.8</v>
      </c>
      <c r="Y100" s="5">
        <v>111.3</v>
      </c>
      <c r="Z100" s="5">
        <v>118.3</v>
      </c>
      <c r="AA100" s="5">
        <v>125.7</v>
      </c>
      <c r="AB100" s="5">
        <v>113.4</v>
      </c>
      <c r="AC100" s="5">
        <v>117.5</v>
      </c>
      <c r="AD100" s="5">
        <v>125.4</v>
      </c>
    </row>
    <row r="101" spans="1:30" x14ac:dyDescent="0.3">
      <c r="A101" t="s">
        <v>30</v>
      </c>
      <c r="B101" s="3">
        <v>2015</v>
      </c>
      <c r="C101" t="s">
        <v>43</v>
      </c>
      <c r="D101" s="5">
        <v>125.6</v>
      </c>
      <c r="E101" s="5">
        <v>130.4</v>
      </c>
      <c r="F101" s="5">
        <v>120.8</v>
      </c>
      <c r="G101" s="5">
        <v>129.4</v>
      </c>
      <c r="H101" s="5">
        <v>115.8</v>
      </c>
      <c r="I101" s="5">
        <v>133.19999999999999</v>
      </c>
      <c r="J101" s="5">
        <v>157.69999999999999</v>
      </c>
      <c r="K101" s="5">
        <v>154.19999999999999</v>
      </c>
      <c r="L101" s="5">
        <v>93.7</v>
      </c>
      <c r="M101" s="5">
        <v>126.6</v>
      </c>
      <c r="N101" s="5">
        <v>122.3</v>
      </c>
      <c r="O101" s="5">
        <v>133.1</v>
      </c>
      <c r="P101" s="5">
        <v>131.80000000000001</v>
      </c>
      <c r="Q101" s="5">
        <v>131.5</v>
      </c>
      <c r="R101" s="5">
        <v>131.1</v>
      </c>
      <c r="S101" s="5">
        <v>127.3</v>
      </c>
      <c r="T101" s="5">
        <v>130.6</v>
      </c>
      <c r="U101" s="5" t="s">
        <v>32</v>
      </c>
      <c r="V101" s="5">
        <v>124.4</v>
      </c>
      <c r="W101" s="5">
        <v>125.1</v>
      </c>
      <c r="X101" s="5">
        <v>122</v>
      </c>
      <c r="Y101" s="5">
        <v>113.8</v>
      </c>
      <c r="Z101" s="5">
        <v>120.1</v>
      </c>
      <c r="AA101" s="5">
        <v>125.1</v>
      </c>
      <c r="AB101" s="5">
        <v>114.2</v>
      </c>
      <c r="AC101" s="5">
        <v>119.2</v>
      </c>
      <c r="AD101" s="5">
        <v>127.7</v>
      </c>
    </row>
    <row r="102" spans="1:30" x14ac:dyDescent="0.3">
      <c r="A102" t="s">
        <v>33</v>
      </c>
      <c r="B102" s="3">
        <v>2015</v>
      </c>
      <c r="C102" t="s">
        <v>43</v>
      </c>
      <c r="D102" s="5">
        <v>123.6</v>
      </c>
      <c r="E102" s="5">
        <v>128.6</v>
      </c>
      <c r="F102" s="5">
        <v>115.9</v>
      </c>
      <c r="G102" s="5">
        <v>128.5</v>
      </c>
      <c r="H102" s="5">
        <v>109</v>
      </c>
      <c r="I102" s="5">
        <v>124.1</v>
      </c>
      <c r="J102" s="5">
        <v>165.8</v>
      </c>
      <c r="K102" s="5">
        <v>187.2</v>
      </c>
      <c r="L102" s="5">
        <v>89.4</v>
      </c>
      <c r="M102" s="5">
        <v>135.80000000000001</v>
      </c>
      <c r="N102" s="5">
        <v>119.4</v>
      </c>
      <c r="O102" s="5">
        <v>132.9</v>
      </c>
      <c r="P102" s="5">
        <v>132.6</v>
      </c>
      <c r="Q102" s="5">
        <v>135.30000000000001</v>
      </c>
      <c r="R102" s="5">
        <v>124.4</v>
      </c>
      <c r="S102" s="5">
        <v>118.8</v>
      </c>
      <c r="T102" s="5">
        <v>123.6</v>
      </c>
      <c r="U102" s="5">
        <v>122.4</v>
      </c>
      <c r="V102" s="5">
        <v>114.9</v>
      </c>
      <c r="W102" s="5">
        <v>120.7</v>
      </c>
      <c r="X102" s="5">
        <v>117.7</v>
      </c>
      <c r="Y102" s="5">
        <v>109.3</v>
      </c>
      <c r="Z102" s="5">
        <v>117.7</v>
      </c>
      <c r="AA102" s="5">
        <v>126.5</v>
      </c>
      <c r="AB102" s="5">
        <v>113.5</v>
      </c>
      <c r="AC102" s="5">
        <v>116.5</v>
      </c>
      <c r="AD102" s="5">
        <v>124.2</v>
      </c>
    </row>
    <row r="103" spans="1:30" x14ac:dyDescent="0.3">
      <c r="A103" t="s">
        <v>34</v>
      </c>
      <c r="B103" s="3">
        <v>2015</v>
      </c>
      <c r="C103" t="s">
        <v>43</v>
      </c>
      <c r="D103" s="5">
        <v>125</v>
      </c>
      <c r="E103" s="5">
        <v>129.80000000000001</v>
      </c>
      <c r="F103" s="5">
        <v>118.9</v>
      </c>
      <c r="G103" s="5">
        <v>129.1</v>
      </c>
      <c r="H103" s="5">
        <v>113.3</v>
      </c>
      <c r="I103" s="5">
        <v>129</v>
      </c>
      <c r="J103" s="5">
        <v>160.4</v>
      </c>
      <c r="K103" s="5">
        <v>165.3</v>
      </c>
      <c r="L103" s="5">
        <v>92.3</v>
      </c>
      <c r="M103" s="5">
        <v>129.69999999999999</v>
      </c>
      <c r="N103" s="5">
        <v>121.1</v>
      </c>
      <c r="O103" s="5">
        <v>133</v>
      </c>
      <c r="P103" s="5">
        <v>132.1</v>
      </c>
      <c r="Q103" s="5">
        <v>132.5</v>
      </c>
      <c r="R103" s="5">
        <v>128.5</v>
      </c>
      <c r="S103" s="5">
        <v>123.8</v>
      </c>
      <c r="T103" s="5">
        <v>127.8</v>
      </c>
      <c r="U103" s="5">
        <v>122.4</v>
      </c>
      <c r="V103" s="5">
        <v>120.8</v>
      </c>
      <c r="W103" s="5">
        <v>123</v>
      </c>
      <c r="X103" s="5">
        <v>120.4</v>
      </c>
      <c r="Y103" s="5">
        <v>111.4</v>
      </c>
      <c r="Z103" s="5">
        <v>118.7</v>
      </c>
      <c r="AA103" s="5">
        <v>125.9</v>
      </c>
      <c r="AB103" s="5">
        <v>113.9</v>
      </c>
      <c r="AC103" s="5">
        <v>117.9</v>
      </c>
      <c r="AD103" s="5">
        <v>126.1</v>
      </c>
    </row>
    <row r="104" spans="1:30" x14ac:dyDescent="0.3">
      <c r="A104" t="s">
        <v>30</v>
      </c>
      <c r="B104" s="3">
        <v>2015</v>
      </c>
      <c r="C104" t="s">
        <v>45</v>
      </c>
      <c r="D104" s="5">
        <v>126.1</v>
      </c>
      <c r="E104" s="5">
        <v>130.6</v>
      </c>
      <c r="F104" s="5">
        <v>121.7</v>
      </c>
      <c r="G104" s="5">
        <v>129.5</v>
      </c>
      <c r="H104" s="5">
        <v>117.8</v>
      </c>
      <c r="I104" s="5">
        <v>132.1</v>
      </c>
      <c r="J104" s="5">
        <v>155.19999999999999</v>
      </c>
      <c r="K104" s="5">
        <v>160.80000000000001</v>
      </c>
      <c r="L104" s="5">
        <v>94.5</v>
      </c>
      <c r="M104" s="5">
        <v>128.30000000000001</v>
      </c>
      <c r="N104" s="5">
        <v>123.1</v>
      </c>
      <c r="O104" s="5">
        <v>134.19999999999999</v>
      </c>
      <c r="P104" s="5">
        <v>132.4</v>
      </c>
      <c r="Q104" s="5">
        <v>132.19999999999999</v>
      </c>
      <c r="R104" s="5">
        <v>132.1</v>
      </c>
      <c r="S104" s="5">
        <v>128.19999999999999</v>
      </c>
      <c r="T104" s="5">
        <v>131.5</v>
      </c>
      <c r="U104" s="5" t="s">
        <v>32</v>
      </c>
      <c r="V104" s="5">
        <v>125.6</v>
      </c>
      <c r="W104" s="5">
        <v>125.6</v>
      </c>
      <c r="X104" s="5">
        <v>122.6</v>
      </c>
      <c r="Y104" s="5">
        <v>114</v>
      </c>
      <c r="Z104" s="5">
        <v>120.9</v>
      </c>
      <c r="AA104" s="5">
        <v>125.8</v>
      </c>
      <c r="AB104" s="5">
        <v>114.2</v>
      </c>
      <c r="AC104" s="5">
        <v>119.6</v>
      </c>
      <c r="AD104" s="5">
        <v>128.30000000000001</v>
      </c>
    </row>
    <row r="105" spans="1:30" x14ac:dyDescent="0.3">
      <c r="A105" t="s">
        <v>33</v>
      </c>
      <c r="B105" s="3">
        <v>2015</v>
      </c>
      <c r="C105" t="s">
        <v>45</v>
      </c>
      <c r="D105" s="5">
        <v>124</v>
      </c>
      <c r="E105" s="5">
        <v>129.80000000000001</v>
      </c>
      <c r="F105" s="5">
        <v>121.5</v>
      </c>
      <c r="G105" s="5">
        <v>128.6</v>
      </c>
      <c r="H105" s="5">
        <v>110</v>
      </c>
      <c r="I105" s="5">
        <v>123.7</v>
      </c>
      <c r="J105" s="5">
        <v>164.6</v>
      </c>
      <c r="K105" s="5">
        <v>191.6</v>
      </c>
      <c r="L105" s="5">
        <v>90.8</v>
      </c>
      <c r="M105" s="5">
        <v>137.1</v>
      </c>
      <c r="N105" s="5">
        <v>119.8</v>
      </c>
      <c r="O105" s="5">
        <v>133.69999999999999</v>
      </c>
      <c r="P105" s="5">
        <v>133.30000000000001</v>
      </c>
      <c r="Q105" s="5">
        <v>137.6</v>
      </c>
      <c r="R105" s="5">
        <v>125</v>
      </c>
      <c r="S105" s="5">
        <v>119.3</v>
      </c>
      <c r="T105" s="5">
        <v>124.2</v>
      </c>
      <c r="U105" s="5">
        <v>122.9</v>
      </c>
      <c r="V105" s="5">
        <v>115.1</v>
      </c>
      <c r="W105" s="5">
        <v>121</v>
      </c>
      <c r="X105" s="5">
        <v>118.1</v>
      </c>
      <c r="Y105" s="5">
        <v>109.3</v>
      </c>
      <c r="Z105" s="5">
        <v>117.9</v>
      </c>
      <c r="AA105" s="5">
        <v>126.6</v>
      </c>
      <c r="AB105" s="5">
        <v>113.3</v>
      </c>
      <c r="AC105" s="5">
        <v>116.6</v>
      </c>
      <c r="AD105" s="5">
        <v>124.6</v>
      </c>
    </row>
    <row r="106" spans="1:30" x14ac:dyDescent="0.3">
      <c r="A106" t="s">
        <v>34</v>
      </c>
      <c r="B106" s="3">
        <v>2015</v>
      </c>
      <c r="C106" t="s">
        <v>45</v>
      </c>
      <c r="D106" s="5">
        <v>125.4</v>
      </c>
      <c r="E106" s="5">
        <v>130.30000000000001</v>
      </c>
      <c r="F106" s="5">
        <v>121.6</v>
      </c>
      <c r="G106" s="5">
        <v>129.19999999999999</v>
      </c>
      <c r="H106" s="5">
        <v>114.9</v>
      </c>
      <c r="I106" s="5">
        <v>128.19999999999999</v>
      </c>
      <c r="J106" s="5">
        <v>158.4</v>
      </c>
      <c r="K106" s="5">
        <v>171.2</v>
      </c>
      <c r="L106" s="5">
        <v>93.3</v>
      </c>
      <c r="M106" s="5">
        <v>131.19999999999999</v>
      </c>
      <c r="N106" s="5">
        <v>121.7</v>
      </c>
      <c r="O106" s="5">
        <v>134</v>
      </c>
      <c r="P106" s="5">
        <v>132.69999999999999</v>
      </c>
      <c r="Q106" s="5">
        <v>133.6</v>
      </c>
      <c r="R106" s="5">
        <v>129.30000000000001</v>
      </c>
      <c r="S106" s="5">
        <v>124.5</v>
      </c>
      <c r="T106" s="5">
        <v>128.6</v>
      </c>
      <c r="U106" s="5">
        <v>122.9</v>
      </c>
      <c r="V106" s="5">
        <v>121.6</v>
      </c>
      <c r="W106" s="5">
        <v>123.4</v>
      </c>
      <c r="X106" s="5">
        <v>120.9</v>
      </c>
      <c r="Y106" s="5">
        <v>111.5</v>
      </c>
      <c r="Z106" s="5">
        <v>119.2</v>
      </c>
      <c r="AA106" s="5">
        <v>126.3</v>
      </c>
      <c r="AB106" s="5">
        <v>113.8</v>
      </c>
      <c r="AC106" s="5">
        <v>118.1</v>
      </c>
      <c r="AD106" s="5">
        <v>126.6</v>
      </c>
    </row>
    <row r="107" spans="1:30" x14ac:dyDescent="0.3">
      <c r="A107" t="s">
        <v>30</v>
      </c>
      <c r="B107" s="3">
        <v>2015</v>
      </c>
      <c r="C107" t="s">
        <v>46</v>
      </c>
      <c r="D107" s="5">
        <v>126.3</v>
      </c>
      <c r="E107" s="5">
        <v>131.30000000000001</v>
      </c>
      <c r="F107" s="5">
        <v>123.3</v>
      </c>
      <c r="G107" s="5">
        <v>129.80000000000001</v>
      </c>
      <c r="H107" s="5">
        <v>118.3</v>
      </c>
      <c r="I107" s="5">
        <v>131.6</v>
      </c>
      <c r="J107" s="5">
        <v>145.5</v>
      </c>
      <c r="K107" s="5">
        <v>162.1</v>
      </c>
      <c r="L107" s="5">
        <v>95.4</v>
      </c>
      <c r="M107" s="5">
        <v>128.9</v>
      </c>
      <c r="N107" s="5">
        <v>123.3</v>
      </c>
      <c r="O107" s="5">
        <v>135.1</v>
      </c>
      <c r="P107" s="5">
        <v>131.4</v>
      </c>
      <c r="Q107" s="5">
        <v>133.1</v>
      </c>
      <c r="R107" s="5">
        <v>132.5</v>
      </c>
      <c r="S107" s="5">
        <v>128.5</v>
      </c>
      <c r="T107" s="5">
        <v>131.9</v>
      </c>
      <c r="U107" s="5" t="s">
        <v>32</v>
      </c>
      <c r="V107" s="5">
        <v>125.7</v>
      </c>
      <c r="W107" s="5">
        <v>126</v>
      </c>
      <c r="X107" s="5">
        <v>123.1</v>
      </c>
      <c r="Y107" s="5">
        <v>114</v>
      </c>
      <c r="Z107" s="5">
        <v>121.6</v>
      </c>
      <c r="AA107" s="5">
        <v>125.6</v>
      </c>
      <c r="AB107" s="5">
        <v>114.1</v>
      </c>
      <c r="AC107" s="5">
        <v>119.8</v>
      </c>
      <c r="AD107" s="5">
        <v>127.9</v>
      </c>
    </row>
    <row r="108" spans="1:30" x14ac:dyDescent="0.3">
      <c r="A108" t="s">
        <v>33</v>
      </c>
      <c r="B108" s="3">
        <v>2015</v>
      </c>
      <c r="C108" t="s">
        <v>46</v>
      </c>
      <c r="D108" s="5">
        <v>124.3</v>
      </c>
      <c r="E108" s="5">
        <v>131.69999999999999</v>
      </c>
      <c r="F108" s="5">
        <v>127.1</v>
      </c>
      <c r="G108" s="5">
        <v>128.6</v>
      </c>
      <c r="H108" s="5">
        <v>110</v>
      </c>
      <c r="I108" s="5">
        <v>120.8</v>
      </c>
      <c r="J108" s="5">
        <v>149</v>
      </c>
      <c r="K108" s="5">
        <v>190.1</v>
      </c>
      <c r="L108" s="5">
        <v>92.7</v>
      </c>
      <c r="M108" s="5">
        <v>138.6</v>
      </c>
      <c r="N108" s="5">
        <v>120.2</v>
      </c>
      <c r="O108" s="5">
        <v>134.19999999999999</v>
      </c>
      <c r="P108" s="5">
        <v>131.5</v>
      </c>
      <c r="Q108" s="5">
        <v>138.19999999999999</v>
      </c>
      <c r="R108" s="5">
        <v>125.4</v>
      </c>
      <c r="S108" s="5">
        <v>119.5</v>
      </c>
      <c r="T108" s="5">
        <v>124.5</v>
      </c>
      <c r="U108" s="5">
        <v>122.4</v>
      </c>
      <c r="V108" s="5">
        <v>116</v>
      </c>
      <c r="W108" s="5">
        <v>121</v>
      </c>
      <c r="X108" s="5">
        <v>118.6</v>
      </c>
      <c r="Y108" s="5">
        <v>109.3</v>
      </c>
      <c r="Z108" s="5">
        <v>118.1</v>
      </c>
      <c r="AA108" s="5">
        <v>126.6</v>
      </c>
      <c r="AB108" s="5">
        <v>113.2</v>
      </c>
      <c r="AC108" s="5">
        <v>116.7</v>
      </c>
      <c r="AD108" s="5">
        <v>124</v>
      </c>
    </row>
    <row r="109" spans="1:30" x14ac:dyDescent="0.3">
      <c r="A109" t="s">
        <v>34</v>
      </c>
      <c r="B109" s="3">
        <v>2015</v>
      </c>
      <c r="C109" t="s">
        <v>46</v>
      </c>
      <c r="D109" s="5">
        <v>125.7</v>
      </c>
      <c r="E109" s="5">
        <v>131.4</v>
      </c>
      <c r="F109" s="5">
        <v>124.8</v>
      </c>
      <c r="G109" s="5">
        <v>129.4</v>
      </c>
      <c r="H109" s="5">
        <v>115.3</v>
      </c>
      <c r="I109" s="5">
        <v>126.6</v>
      </c>
      <c r="J109" s="5">
        <v>146.69999999999999</v>
      </c>
      <c r="K109" s="5">
        <v>171.5</v>
      </c>
      <c r="L109" s="5">
        <v>94.5</v>
      </c>
      <c r="M109" s="5">
        <v>132.1</v>
      </c>
      <c r="N109" s="5">
        <v>122</v>
      </c>
      <c r="O109" s="5">
        <v>134.69999999999999</v>
      </c>
      <c r="P109" s="5">
        <v>131.4</v>
      </c>
      <c r="Q109" s="5">
        <v>134.5</v>
      </c>
      <c r="R109" s="5">
        <v>129.69999999999999</v>
      </c>
      <c r="S109" s="5">
        <v>124.8</v>
      </c>
      <c r="T109" s="5">
        <v>129</v>
      </c>
      <c r="U109" s="5">
        <v>122.4</v>
      </c>
      <c r="V109" s="5">
        <v>122</v>
      </c>
      <c r="W109" s="5">
        <v>123.6</v>
      </c>
      <c r="X109" s="5">
        <v>121.4</v>
      </c>
      <c r="Y109" s="5">
        <v>111.5</v>
      </c>
      <c r="Z109" s="5">
        <v>119.6</v>
      </c>
      <c r="AA109" s="5">
        <v>126.2</v>
      </c>
      <c r="AB109" s="5">
        <v>113.7</v>
      </c>
      <c r="AC109" s="5">
        <v>118.3</v>
      </c>
      <c r="AD109" s="5">
        <v>126.1</v>
      </c>
    </row>
    <row r="110" spans="1:30" x14ac:dyDescent="0.3">
      <c r="A110" t="s">
        <v>30</v>
      </c>
      <c r="B110" s="3">
        <v>2016</v>
      </c>
      <c r="C110" t="s">
        <v>31</v>
      </c>
      <c r="D110" s="5">
        <v>126.8</v>
      </c>
      <c r="E110" s="5">
        <v>133.19999999999999</v>
      </c>
      <c r="F110" s="5">
        <v>126.5</v>
      </c>
      <c r="G110" s="5">
        <v>130.30000000000001</v>
      </c>
      <c r="H110" s="5">
        <v>118.9</v>
      </c>
      <c r="I110" s="5">
        <v>131.6</v>
      </c>
      <c r="J110" s="5">
        <v>140.1</v>
      </c>
      <c r="K110" s="5">
        <v>163.80000000000001</v>
      </c>
      <c r="L110" s="5">
        <v>97.7</v>
      </c>
      <c r="M110" s="5">
        <v>129.6</v>
      </c>
      <c r="N110" s="5">
        <v>124.3</v>
      </c>
      <c r="O110" s="5">
        <v>135.9</v>
      </c>
      <c r="P110" s="5">
        <v>131.4</v>
      </c>
      <c r="Q110" s="5">
        <v>133.6</v>
      </c>
      <c r="R110" s="5">
        <v>133.19999999999999</v>
      </c>
      <c r="S110" s="5">
        <v>128.9</v>
      </c>
      <c r="T110" s="5">
        <v>132.6</v>
      </c>
      <c r="U110" s="5" t="s">
        <v>32</v>
      </c>
      <c r="V110" s="5">
        <v>126.2</v>
      </c>
      <c r="W110" s="5">
        <v>126.6</v>
      </c>
      <c r="X110" s="5">
        <v>123.7</v>
      </c>
      <c r="Y110" s="5">
        <v>113.6</v>
      </c>
      <c r="Z110" s="5">
        <v>121.4</v>
      </c>
      <c r="AA110" s="5">
        <v>126.2</v>
      </c>
      <c r="AB110" s="5">
        <v>114.9</v>
      </c>
      <c r="AC110" s="5">
        <v>120.1</v>
      </c>
      <c r="AD110" s="5">
        <v>128.1</v>
      </c>
    </row>
    <row r="111" spans="1:30" x14ac:dyDescent="0.3">
      <c r="A111" t="s">
        <v>33</v>
      </c>
      <c r="B111" s="3">
        <v>2016</v>
      </c>
      <c r="C111" t="s">
        <v>31</v>
      </c>
      <c r="D111" s="5">
        <v>124.7</v>
      </c>
      <c r="E111" s="5">
        <v>135.9</v>
      </c>
      <c r="F111" s="5">
        <v>132</v>
      </c>
      <c r="G111" s="5">
        <v>129.19999999999999</v>
      </c>
      <c r="H111" s="5">
        <v>109.7</v>
      </c>
      <c r="I111" s="5">
        <v>119</v>
      </c>
      <c r="J111" s="5">
        <v>144.1</v>
      </c>
      <c r="K111" s="5">
        <v>184.2</v>
      </c>
      <c r="L111" s="5">
        <v>96.7</v>
      </c>
      <c r="M111" s="5">
        <v>139.5</v>
      </c>
      <c r="N111" s="5">
        <v>120.5</v>
      </c>
      <c r="O111" s="5">
        <v>134.69999999999999</v>
      </c>
      <c r="P111" s="5">
        <v>131.19999999999999</v>
      </c>
      <c r="Q111" s="5">
        <v>139.5</v>
      </c>
      <c r="R111" s="5">
        <v>125.8</v>
      </c>
      <c r="S111" s="5">
        <v>119.8</v>
      </c>
      <c r="T111" s="5">
        <v>124.9</v>
      </c>
      <c r="U111" s="5">
        <v>123.4</v>
      </c>
      <c r="V111" s="5">
        <v>116.9</v>
      </c>
      <c r="W111" s="5">
        <v>121.6</v>
      </c>
      <c r="X111" s="5">
        <v>119.1</v>
      </c>
      <c r="Y111" s="5">
        <v>108.9</v>
      </c>
      <c r="Z111" s="5">
        <v>118.5</v>
      </c>
      <c r="AA111" s="5">
        <v>126.4</v>
      </c>
      <c r="AB111" s="5">
        <v>114</v>
      </c>
      <c r="AC111" s="5">
        <v>116.8</v>
      </c>
      <c r="AD111" s="5">
        <v>124.2</v>
      </c>
    </row>
    <row r="112" spans="1:30" x14ac:dyDescent="0.3">
      <c r="A112" t="s">
        <v>34</v>
      </c>
      <c r="B112" s="3">
        <v>2016</v>
      </c>
      <c r="C112" t="s">
        <v>31</v>
      </c>
      <c r="D112" s="5">
        <v>126.1</v>
      </c>
      <c r="E112" s="5">
        <v>134.1</v>
      </c>
      <c r="F112" s="5">
        <v>128.6</v>
      </c>
      <c r="G112" s="5">
        <v>129.9</v>
      </c>
      <c r="H112" s="5">
        <v>115.5</v>
      </c>
      <c r="I112" s="5">
        <v>125.7</v>
      </c>
      <c r="J112" s="5">
        <v>141.5</v>
      </c>
      <c r="K112" s="5">
        <v>170.7</v>
      </c>
      <c r="L112" s="5">
        <v>97.4</v>
      </c>
      <c r="M112" s="5">
        <v>132.9</v>
      </c>
      <c r="N112" s="5">
        <v>122.7</v>
      </c>
      <c r="O112" s="5">
        <v>135.30000000000001</v>
      </c>
      <c r="P112" s="5">
        <v>131.30000000000001</v>
      </c>
      <c r="Q112" s="5">
        <v>135.19999999999999</v>
      </c>
      <c r="R112" s="5">
        <v>130.30000000000001</v>
      </c>
      <c r="S112" s="5">
        <v>125.1</v>
      </c>
      <c r="T112" s="5">
        <v>129.5</v>
      </c>
      <c r="U112" s="5">
        <v>123.4</v>
      </c>
      <c r="V112" s="5">
        <v>122.7</v>
      </c>
      <c r="W112" s="5">
        <v>124.2</v>
      </c>
      <c r="X112" s="5">
        <v>122</v>
      </c>
      <c r="Y112" s="5">
        <v>111.1</v>
      </c>
      <c r="Z112" s="5">
        <v>119.8</v>
      </c>
      <c r="AA112" s="5">
        <v>126.3</v>
      </c>
      <c r="AB112" s="5">
        <v>114.5</v>
      </c>
      <c r="AC112" s="5">
        <v>118.5</v>
      </c>
      <c r="AD112" s="5">
        <v>126.3</v>
      </c>
    </row>
    <row r="113" spans="1:30" x14ac:dyDescent="0.3">
      <c r="A113" t="s">
        <v>30</v>
      </c>
      <c r="B113" s="3">
        <v>2016</v>
      </c>
      <c r="C113" t="s">
        <v>35</v>
      </c>
      <c r="D113" s="5">
        <v>127.1</v>
      </c>
      <c r="E113" s="5">
        <v>133.69999999999999</v>
      </c>
      <c r="F113" s="5">
        <v>127.7</v>
      </c>
      <c r="G113" s="5">
        <v>130.69999999999999</v>
      </c>
      <c r="H113" s="5">
        <v>118.5</v>
      </c>
      <c r="I113" s="5">
        <v>130.4</v>
      </c>
      <c r="J113" s="5">
        <v>130.9</v>
      </c>
      <c r="K113" s="5">
        <v>162.80000000000001</v>
      </c>
      <c r="L113" s="5">
        <v>98.7</v>
      </c>
      <c r="M113" s="5">
        <v>130.6</v>
      </c>
      <c r="N113" s="5">
        <v>124.8</v>
      </c>
      <c r="O113" s="5">
        <v>136.4</v>
      </c>
      <c r="P113" s="5">
        <v>130.30000000000001</v>
      </c>
      <c r="Q113" s="5">
        <v>134.4</v>
      </c>
      <c r="R113" s="5">
        <v>133.9</v>
      </c>
      <c r="S113" s="5">
        <v>129.80000000000001</v>
      </c>
      <c r="T113" s="5">
        <v>133.4</v>
      </c>
      <c r="U113" s="5" t="s">
        <v>32</v>
      </c>
      <c r="V113" s="5">
        <v>127.5</v>
      </c>
      <c r="W113" s="5">
        <v>127.1</v>
      </c>
      <c r="X113" s="5">
        <v>124.3</v>
      </c>
      <c r="Y113" s="5">
        <v>113.9</v>
      </c>
      <c r="Z113" s="5">
        <v>122.3</v>
      </c>
      <c r="AA113" s="5">
        <v>127.1</v>
      </c>
      <c r="AB113" s="5">
        <v>116.8</v>
      </c>
      <c r="AC113" s="5">
        <v>120.9</v>
      </c>
      <c r="AD113" s="5">
        <v>127.9</v>
      </c>
    </row>
    <row r="114" spans="1:30" x14ac:dyDescent="0.3">
      <c r="A114" t="s">
        <v>33</v>
      </c>
      <c r="B114" s="3">
        <v>2016</v>
      </c>
      <c r="C114" t="s">
        <v>35</v>
      </c>
      <c r="D114" s="5">
        <v>124.8</v>
      </c>
      <c r="E114" s="5">
        <v>135.1</v>
      </c>
      <c r="F114" s="5">
        <v>130.30000000000001</v>
      </c>
      <c r="G114" s="5">
        <v>129.6</v>
      </c>
      <c r="H114" s="5">
        <v>108.4</v>
      </c>
      <c r="I114" s="5">
        <v>118.6</v>
      </c>
      <c r="J114" s="5">
        <v>129.19999999999999</v>
      </c>
      <c r="K114" s="5">
        <v>176.4</v>
      </c>
      <c r="L114" s="5">
        <v>99.1</v>
      </c>
      <c r="M114" s="5">
        <v>139.69999999999999</v>
      </c>
      <c r="N114" s="5">
        <v>120.6</v>
      </c>
      <c r="O114" s="5">
        <v>135.19999999999999</v>
      </c>
      <c r="P114" s="5">
        <v>129.1</v>
      </c>
      <c r="Q114" s="5">
        <v>140</v>
      </c>
      <c r="R114" s="5">
        <v>126.2</v>
      </c>
      <c r="S114" s="5">
        <v>120.1</v>
      </c>
      <c r="T114" s="5">
        <v>125.3</v>
      </c>
      <c r="U114" s="5">
        <v>124.4</v>
      </c>
      <c r="V114" s="5">
        <v>116</v>
      </c>
      <c r="W114" s="5">
        <v>121.8</v>
      </c>
      <c r="X114" s="5">
        <v>119.5</v>
      </c>
      <c r="Y114" s="5">
        <v>109.1</v>
      </c>
      <c r="Z114" s="5">
        <v>118.8</v>
      </c>
      <c r="AA114" s="5">
        <v>126.3</v>
      </c>
      <c r="AB114" s="5">
        <v>116.2</v>
      </c>
      <c r="AC114" s="5">
        <v>117.2</v>
      </c>
      <c r="AD114" s="5">
        <v>123.8</v>
      </c>
    </row>
    <row r="115" spans="1:30" x14ac:dyDescent="0.3">
      <c r="A115" t="s">
        <v>34</v>
      </c>
      <c r="B115" s="3">
        <v>2016</v>
      </c>
      <c r="C115" t="s">
        <v>35</v>
      </c>
      <c r="D115" s="5">
        <v>126.4</v>
      </c>
      <c r="E115" s="5">
        <v>134.19999999999999</v>
      </c>
      <c r="F115" s="5">
        <v>128.69999999999999</v>
      </c>
      <c r="G115" s="5">
        <v>130.30000000000001</v>
      </c>
      <c r="H115" s="5">
        <v>114.8</v>
      </c>
      <c r="I115" s="5">
        <v>124.9</v>
      </c>
      <c r="J115" s="5">
        <v>130.30000000000001</v>
      </c>
      <c r="K115" s="5">
        <v>167.4</v>
      </c>
      <c r="L115" s="5">
        <v>98.8</v>
      </c>
      <c r="M115" s="5">
        <v>133.6</v>
      </c>
      <c r="N115" s="5">
        <v>123</v>
      </c>
      <c r="O115" s="5">
        <v>135.80000000000001</v>
      </c>
      <c r="P115" s="5">
        <v>129.9</v>
      </c>
      <c r="Q115" s="5">
        <v>135.9</v>
      </c>
      <c r="R115" s="5">
        <v>130.9</v>
      </c>
      <c r="S115" s="5">
        <v>125.8</v>
      </c>
      <c r="T115" s="5">
        <v>130.19999999999999</v>
      </c>
      <c r="U115" s="5">
        <v>124.4</v>
      </c>
      <c r="V115" s="5">
        <v>123.1</v>
      </c>
      <c r="W115" s="5">
        <v>124.6</v>
      </c>
      <c r="X115" s="5">
        <v>122.5</v>
      </c>
      <c r="Y115" s="5">
        <v>111.4</v>
      </c>
      <c r="Z115" s="5">
        <v>120.3</v>
      </c>
      <c r="AA115" s="5">
        <v>126.6</v>
      </c>
      <c r="AB115" s="5">
        <v>116.6</v>
      </c>
      <c r="AC115" s="5">
        <v>119.1</v>
      </c>
      <c r="AD115" s="5">
        <v>126</v>
      </c>
    </row>
    <row r="116" spans="1:30" x14ac:dyDescent="0.3">
      <c r="A116" t="s">
        <v>30</v>
      </c>
      <c r="B116" s="3">
        <v>2016</v>
      </c>
      <c r="C116" t="s">
        <v>36</v>
      </c>
      <c r="D116" s="5">
        <v>127.3</v>
      </c>
      <c r="E116" s="5">
        <v>134.4</v>
      </c>
      <c r="F116" s="5">
        <v>125.1</v>
      </c>
      <c r="G116" s="5">
        <v>130.5</v>
      </c>
      <c r="H116" s="5">
        <v>118.3</v>
      </c>
      <c r="I116" s="5">
        <v>131.69999999999999</v>
      </c>
      <c r="J116" s="5">
        <v>130.69999999999999</v>
      </c>
      <c r="K116" s="5">
        <v>161.19999999999999</v>
      </c>
      <c r="L116" s="5">
        <v>100.4</v>
      </c>
      <c r="M116" s="5">
        <v>130.80000000000001</v>
      </c>
      <c r="N116" s="5">
        <v>124.9</v>
      </c>
      <c r="O116" s="5">
        <v>137</v>
      </c>
      <c r="P116" s="5">
        <v>130.4</v>
      </c>
      <c r="Q116" s="5">
        <v>135</v>
      </c>
      <c r="R116" s="5">
        <v>134.4</v>
      </c>
      <c r="S116" s="5">
        <v>130.19999999999999</v>
      </c>
      <c r="T116" s="5">
        <v>133.80000000000001</v>
      </c>
      <c r="U116" s="5" t="s">
        <v>32</v>
      </c>
      <c r="V116" s="5">
        <v>127</v>
      </c>
      <c r="W116" s="5">
        <v>127.7</v>
      </c>
      <c r="X116" s="5">
        <v>124.8</v>
      </c>
      <c r="Y116" s="5">
        <v>113.6</v>
      </c>
      <c r="Z116" s="5">
        <v>122.5</v>
      </c>
      <c r="AA116" s="5">
        <v>127.5</v>
      </c>
      <c r="AB116" s="5">
        <v>117.4</v>
      </c>
      <c r="AC116" s="5">
        <v>121.1</v>
      </c>
      <c r="AD116" s="5">
        <v>128</v>
      </c>
    </row>
    <row r="117" spans="1:30" x14ac:dyDescent="0.3">
      <c r="A117" t="s">
        <v>33</v>
      </c>
      <c r="B117" s="3">
        <v>2016</v>
      </c>
      <c r="C117" t="s">
        <v>36</v>
      </c>
      <c r="D117" s="5">
        <v>124.8</v>
      </c>
      <c r="E117" s="5">
        <v>136.30000000000001</v>
      </c>
      <c r="F117" s="5">
        <v>123.7</v>
      </c>
      <c r="G117" s="5">
        <v>129.69999999999999</v>
      </c>
      <c r="H117" s="5">
        <v>107.9</v>
      </c>
      <c r="I117" s="5">
        <v>119.9</v>
      </c>
      <c r="J117" s="5">
        <v>128.1</v>
      </c>
      <c r="K117" s="5">
        <v>170.3</v>
      </c>
      <c r="L117" s="5">
        <v>101.8</v>
      </c>
      <c r="M117" s="5">
        <v>140.1</v>
      </c>
      <c r="N117" s="5">
        <v>120.7</v>
      </c>
      <c r="O117" s="5">
        <v>135.4</v>
      </c>
      <c r="P117" s="5">
        <v>128.9</v>
      </c>
      <c r="Q117" s="5">
        <v>140.6</v>
      </c>
      <c r="R117" s="5">
        <v>126.4</v>
      </c>
      <c r="S117" s="5">
        <v>120.3</v>
      </c>
      <c r="T117" s="5">
        <v>125.5</v>
      </c>
      <c r="U117" s="5">
        <v>124.9</v>
      </c>
      <c r="V117" s="5">
        <v>114.8</v>
      </c>
      <c r="W117" s="5">
        <v>122.3</v>
      </c>
      <c r="X117" s="5">
        <v>119.7</v>
      </c>
      <c r="Y117" s="5">
        <v>108.5</v>
      </c>
      <c r="Z117" s="5">
        <v>119.1</v>
      </c>
      <c r="AA117" s="5">
        <v>126.4</v>
      </c>
      <c r="AB117" s="5">
        <v>117.1</v>
      </c>
      <c r="AC117" s="5">
        <v>117.3</v>
      </c>
      <c r="AD117" s="5">
        <v>123.8</v>
      </c>
    </row>
    <row r="118" spans="1:30" x14ac:dyDescent="0.3">
      <c r="A118" t="s">
        <v>34</v>
      </c>
      <c r="B118" s="3">
        <v>2016</v>
      </c>
      <c r="C118" t="s">
        <v>36</v>
      </c>
      <c r="D118" s="5">
        <v>126.5</v>
      </c>
      <c r="E118" s="5">
        <v>135.1</v>
      </c>
      <c r="F118" s="5">
        <v>124.6</v>
      </c>
      <c r="G118" s="5">
        <v>130.19999999999999</v>
      </c>
      <c r="H118" s="5">
        <v>114.5</v>
      </c>
      <c r="I118" s="5">
        <v>126.2</v>
      </c>
      <c r="J118" s="5">
        <v>129.80000000000001</v>
      </c>
      <c r="K118" s="5">
        <v>164.3</v>
      </c>
      <c r="L118" s="5">
        <v>100.9</v>
      </c>
      <c r="M118" s="5">
        <v>133.9</v>
      </c>
      <c r="N118" s="5">
        <v>123.1</v>
      </c>
      <c r="O118" s="5">
        <v>136.30000000000001</v>
      </c>
      <c r="P118" s="5">
        <v>129.80000000000001</v>
      </c>
      <c r="Q118" s="5">
        <v>136.5</v>
      </c>
      <c r="R118" s="5">
        <v>131.30000000000001</v>
      </c>
      <c r="S118" s="5">
        <v>126.1</v>
      </c>
      <c r="T118" s="5">
        <v>130.5</v>
      </c>
      <c r="U118" s="5">
        <v>124.9</v>
      </c>
      <c r="V118" s="5">
        <v>122.4</v>
      </c>
      <c r="W118" s="5">
        <v>125.1</v>
      </c>
      <c r="X118" s="5">
        <v>122.9</v>
      </c>
      <c r="Y118" s="5">
        <v>110.9</v>
      </c>
      <c r="Z118" s="5">
        <v>120.6</v>
      </c>
      <c r="AA118" s="5">
        <v>126.9</v>
      </c>
      <c r="AB118" s="5">
        <v>117.3</v>
      </c>
      <c r="AC118" s="5">
        <v>119.3</v>
      </c>
      <c r="AD118" s="5">
        <v>126</v>
      </c>
    </row>
    <row r="119" spans="1:30" x14ac:dyDescent="0.3">
      <c r="A119" t="s">
        <v>30</v>
      </c>
      <c r="B119" s="3">
        <v>2016</v>
      </c>
      <c r="C119" t="s">
        <v>37</v>
      </c>
      <c r="D119" s="5">
        <v>127.4</v>
      </c>
      <c r="E119" s="5">
        <v>135.4</v>
      </c>
      <c r="F119" s="5">
        <v>123.4</v>
      </c>
      <c r="G119" s="5">
        <v>131.30000000000001</v>
      </c>
      <c r="H119" s="5">
        <v>118.2</v>
      </c>
      <c r="I119" s="5">
        <v>138.1</v>
      </c>
      <c r="J119" s="5">
        <v>134.1</v>
      </c>
      <c r="K119" s="5">
        <v>162.69999999999999</v>
      </c>
      <c r="L119" s="5">
        <v>105</v>
      </c>
      <c r="M119" s="5">
        <v>131.4</v>
      </c>
      <c r="N119" s="5">
        <v>125.4</v>
      </c>
      <c r="O119" s="5">
        <v>137.4</v>
      </c>
      <c r="P119" s="5">
        <v>131.80000000000001</v>
      </c>
      <c r="Q119" s="5">
        <v>135.5</v>
      </c>
      <c r="R119" s="5">
        <v>135</v>
      </c>
      <c r="S119" s="5">
        <v>130.6</v>
      </c>
      <c r="T119" s="5">
        <v>134.4</v>
      </c>
      <c r="U119" s="5" t="s">
        <v>32</v>
      </c>
      <c r="V119" s="5">
        <v>127</v>
      </c>
      <c r="W119" s="5">
        <v>128</v>
      </c>
      <c r="X119" s="5">
        <v>125.2</v>
      </c>
      <c r="Y119" s="5">
        <v>114.4</v>
      </c>
      <c r="Z119" s="5">
        <v>123.2</v>
      </c>
      <c r="AA119" s="5">
        <v>127.9</v>
      </c>
      <c r="AB119" s="5">
        <v>118.4</v>
      </c>
      <c r="AC119" s="5">
        <v>121.7</v>
      </c>
      <c r="AD119" s="5">
        <v>129</v>
      </c>
    </row>
    <row r="120" spans="1:30" x14ac:dyDescent="0.3">
      <c r="A120" t="s">
        <v>33</v>
      </c>
      <c r="B120" s="3">
        <v>2016</v>
      </c>
      <c r="C120" t="s">
        <v>37</v>
      </c>
      <c r="D120" s="5">
        <v>124.9</v>
      </c>
      <c r="E120" s="5">
        <v>139.30000000000001</v>
      </c>
      <c r="F120" s="5">
        <v>119.9</v>
      </c>
      <c r="G120" s="5">
        <v>130.19999999999999</v>
      </c>
      <c r="H120" s="5">
        <v>108.9</v>
      </c>
      <c r="I120" s="5">
        <v>131.1</v>
      </c>
      <c r="J120" s="5">
        <v>136.80000000000001</v>
      </c>
      <c r="K120" s="5">
        <v>176.9</v>
      </c>
      <c r="L120" s="5">
        <v>109.1</v>
      </c>
      <c r="M120" s="5">
        <v>140.4</v>
      </c>
      <c r="N120" s="5">
        <v>121.1</v>
      </c>
      <c r="O120" s="5">
        <v>135.9</v>
      </c>
      <c r="P120" s="5">
        <v>131.80000000000001</v>
      </c>
      <c r="Q120" s="5">
        <v>141.5</v>
      </c>
      <c r="R120" s="5">
        <v>126.8</v>
      </c>
      <c r="S120" s="5">
        <v>120.5</v>
      </c>
      <c r="T120" s="5">
        <v>125.8</v>
      </c>
      <c r="U120" s="5">
        <v>125.6</v>
      </c>
      <c r="V120" s="5">
        <v>114.6</v>
      </c>
      <c r="W120" s="5">
        <v>122.8</v>
      </c>
      <c r="X120" s="5">
        <v>120</v>
      </c>
      <c r="Y120" s="5">
        <v>110</v>
      </c>
      <c r="Z120" s="5">
        <v>119.5</v>
      </c>
      <c r="AA120" s="5">
        <v>127.6</v>
      </c>
      <c r="AB120" s="5">
        <v>117.6</v>
      </c>
      <c r="AC120" s="5">
        <v>118.2</v>
      </c>
      <c r="AD120" s="5">
        <v>125.3</v>
      </c>
    </row>
    <row r="121" spans="1:30" x14ac:dyDescent="0.3">
      <c r="A121" t="s">
        <v>34</v>
      </c>
      <c r="B121" s="3">
        <v>2016</v>
      </c>
      <c r="C121" t="s">
        <v>37</v>
      </c>
      <c r="D121" s="5">
        <v>126.6</v>
      </c>
      <c r="E121" s="5">
        <v>136.80000000000001</v>
      </c>
      <c r="F121" s="5">
        <v>122</v>
      </c>
      <c r="G121" s="5">
        <v>130.9</v>
      </c>
      <c r="H121" s="5">
        <v>114.8</v>
      </c>
      <c r="I121" s="5">
        <v>134.80000000000001</v>
      </c>
      <c r="J121" s="5">
        <v>135</v>
      </c>
      <c r="K121" s="5">
        <v>167.5</v>
      </c>
      <c r="L121" s="5">
        <v>106.4</v>
      </c>
      <c r="M121" s="5">
        <v>134.4</v>
      </c>
      <c r="N121" s="5">
        <v>123.6</v>
      </c>
      <c r="O121" s="5">
        <v>136.69999999999999</v>
      </c>
      <c r="P121" s="5">
        <v>131.80000000000001</v>
      </c>
      <c r="Q121" s="5">
        <v>137.1</v>
      </c>
      <c r="R121" s="5">
        <v>131.80000000000001</v>
      </c>
      <c r="S121" s="5">
        <v>126.4</v>
      </c>
      <c r="T121" s="5">
        <v>131</v>
      </c>
      <c r="U121" s="5">
        <v>125.6</v>
      </c>
      <c r="V121" s="5">
        <v>122.3</v>
      </c>
      <c r="W121" s="5">
        <v>125.5</v>
      </c>
      <c r="X121" s="5">
        <v>123.2</v>
      </c>
      <c r="Y121" s="5">
        <v>112.1</v>
      </c>
      <c r="Z121" s="5">
        <v>121.1</v>
      </c>
      <c r="AA121" s="5">
        <v>127.7</v>
      </c>
      <c r="AB121" s="5">
        <v>118.1</v>
      </c>
      <c r="AC121" s="5">
        <v>120</v>
      </c>
      <c r="AD121" s="5">
        <v>127.3</v>
      </c>
    </row>
    <row r="122" spans="1:30" x14ac:dyDescent="0.3">
      <c r="A122" t="s">
        <v>30</v>
      </c>
      <c r="B122" s="3">
        <v>2016</v>
      </c>
      <c r="C122" t="s">
        <v>38</v>
      </c>
      <c r="D122" s="5">
        <v>127.6</v>
      </c>
      <c r="E122" s="5">
        <v>137.5</v>
      </c>
      <c r="F122" s="5">
        <v>124.4</v>
      </c>
      <c r="G122" s="5">
        <v>132.4</v>
      </c>
      <c r="H122" s="5">
        <v>118.2</v>
      </c>
      <c r="I122" s="5">
        <v>138.1</v>
      </c>
      <c r="J122" s="5">
        <v>141.80000000000001</v>
      </c>
      <c r="K122" s="5">
        <v>166</v>
      </c>
      <c r="L122" s="5">
        <v>107.5</v>
      </c>
      <c r="M122" s="5">
        <v>132.19999999999999</v>
      </c>
      <c r="N122" s="5">
        <v>126.1</v>
      </c>
      <c r="O122" s="5">
        <v>138.30000000000001</v>
      </c>
      <c r="P122" s="5">
        <v>133.6</v>
      </c>
      <c r="Q122" s="5">
        <v>136</v>
      </c>
      <c r="R122" s="5">
        <v>135.4</v>
      </c>
      <c r="S122" s="5">
        <v>131.1</v>
      </c>
      <c r="T122" s="5">
        <v>134.80000000000001</v>
      </c>
      <c r="U122" s="5" t="s">
        <v>32</v>
      </c>
      <c r="V122" s="5">
        <v>127.4</v>
      </c>
      <c r="W122" s="5">
        <v>128.5</v>
      </c>
      <c r="X122" s="5">
        <v>125.8</v>
      </c>
      <c r="Y122" s="5">
        <v>115.1</v>
      </c>
      <c r="Z122" s="5">
        <v>123.6</v>
      </c>
      <c r="AA122" s="5">
        <v>129.1</v>
      </c>
      <c r="AB122" s="5">
        <v>119.7</v>
      </c>
      <c r="AC122" s="5">
        <v>122.5</v>
      </c>
      <c r="AD122" s="5">
        <v>130.30000000000001</v>
      </c>
    </row>
    <row r="123" spans="1:30" x14ac:dyDescent="0.3">
      <c r="A123" t="s">
        <v>33</v>
      </c>
      <c r="B123" s="3">
        <v>2016</v>
      </c>
      <c r="C123" t="s">
        <v>38</v>
      </c>
      <c r="D123" s="5">
        <v>125</v>
      </c>
      <c r="E123" s="5">
        <v>142.1</v>
      </c>
      <c r="F123" s="5">
        <v>127</v>
      </c>
      <c r="G123" s="5">
        <v>130.4</v>
      </c>
      <c r="H123" s="5">
        <v>109.6</v>
      </c>
      <c r="I123" s="5">
        <v>133.5</v>
      </c>
      <c r="J123" s="5">
        <v>151.4</v>
      </c>
      <c r="K123" s="5">
        <v>182.8</v>
      </c>
      <c r="L123" s="5">
        <v>111.1</v>
      </c>
      <c r="M123" s="5">
        <v>141.5</v>
      </c>
      <c r="N123" s="5">
        <v>121.5</v>
      </c>
      <c r="O123" s="5">
        <v>136.30000000000001</v>
      </c>
      <c r="P123" s="5">
        <v>134.6</v>
      </c>
      <c r="Q123" s="5">
        <v>142.19999999999999</v>
      </c>
      <c r="R123" s="5">
        <v>127.2</v>
      </c>
      <c r="S123" s="5">
        <v>120.7</v>
      </c>
      <c r="T123" s="5">
        <v>126.2</v>
      </c>
      <c r="U123" s="5">
        <v>126</v>
      </c>
      <c r="V123" s="5">
        <v>115</v>
      </c>
      <c r="W123" s="5">
        <v>123.2</v>
      </c>
      <c r="X123" s="5">
        <v>120.3</v>
      </c>
      <c r="Y123" s="5">
        <v>110.7</v>
      </c>
      <c r="Z123" s="5">
        <v>119.8</v>
      </c>
      <c r="AA123" s="5">
        <v>128</v>
      </c>
      <c r="AB123" s="5">
        <v>118.5</v>
      </c>
      <c r="AC123" s="5">
        <v>118.7</v>
      </c>
      <c r="AD123" s="5">
        <v>126.6</v>
      </c>
    </row>
    <row r="124" spans="1:30" x14ac:dyDescent="0.3">
      <c r="A124" t="s">
        <v>34</v>
      </c>
      <c r="B124" s="3">
        <v>2016</v>
      </c>
      <c r="C124" t="s">
        <v>38</v>
      </c>
      <c r="D124" s="5">
        <v>126.8</v>
      </c>
      <c r="E124" s="5">
        <v>139.1</v>
      </c>
      <c r="F124" s="5">
        <v>125.4</v>
      </c>
      <c r="G124" s="5">
        <v>131.69999999999999</v>
      </c>
      <c r="H124" s="5">
        <v>115</v>
      </c>
      <c r="I124" s="5">
        <v>136</v>
      </c>
      <c r="J124" s="5">
        <v>145.1</v>
      </c>
      <c r="K124" s="5">
        <v>171.7</v>
      </c>
      <c r="L124" s="5">
        <v>108.7</v>
      </c>
      <c r="M124" s="5">
        <v>135.30000000000001</v>
      </c>
      <c r="N124" s="5">
        <v>124.2</v>
      </c>
      <c r="O124" s="5">
        <v>137.4</v>
      </c>
      <c r="P124" s="5">
        <v>134</v>
      </c>
      <c r="Q124" s="5">
        <v>137.69999999999999</v>
      </c>
      <c r="R124" s="5">
        <v>132.19999999999999</v>
      </c>
      <c r="S124" s="5">
        <v>126.8</v>
      </c>
      <c r="T124" s="5">
        <v>131.4</v>
      </c>
      <c r="U124" s="5">
        <v>126</v>
      </c>
      <c r="V124" s="5">
        <v>122.7</v>
      </c>
      <c r="W124" s="5">
        <v>126</v>
      </c>
      <c r="X124" s="5">
        <v>123.7</v>
      </c>
      <c r="Y124" s="5">
        <v>112.8</v>
      </c>
      <c r="Z124" s="5">
        <v>121.5</v>
      </c>
      <c r="AA124" s="5">
        <v>128.5</v>
      </c>
      <c r="AB124" s="5">
        <v>119.2</v>
      </c>
      <c r="AC124" s="5">
        <v>120.7</v>
      </c>
      <c r="AD124" s="5">
        <v>128.6</v>
      </c>
    </row>
    <row r="125" spans="1:30" x14ac:dyDescent="0.3">
      <c r="A125" t="s">
        <v>30</v>
      </c>
      <c r="B125" s="3">
        <v>2016</v>
      </c>
      <c r="C125" t="s">
        <v>39</v>
      </c>
      <c r="D125" s="5">
        <v>128.6</v>
      </c>
      <c r="E125" s="5">
        <v>138.6</v>
      </c>
      <c r="F125" s="5">
        <v>126.6</v>
      </c>
      <c r="G125" s="5">
        <v>133.6</v>
      </c>
      <c r="H125" s="5">
        <v>118.6</v>
      </c>
      <c r="I125" s="5">
        <v>137.4</v>
      </c>
      <c r="J125" s="5">
        <v>152.5</v>
      </c>
      <c r="K125" s="5">
        <v>169.2</v>
      </c>
      <c r="L125" s="5">
        <v>108.8</v>
      </c>
      <c r="M125" s="5">
        <v>133.1</v>
      </c>
      <c r="N125" s="5">
        <v>126.4</v>
      </c>
      <c r="O125" s="5">
        <v>139.19999999999999</v>
      </c>
      <c r="P125" s="5">
        <v>136</v>
      </c>
      <c r="Q125" s="5">
        <v>137.19999999999999</v>
      </c>
      <c r="R125" s="5">
        <v>136.30000000000001</v>
      </c>
      <c r="S125" s="5">
        <v>131.6</v>
      </c>
      <c r="T125" s="5">
        <v>135.6</v>
      </c>
      <c r="U125" s="5" t="s">
        <v>32</v>
      </c>
      <c r="V125" s="5">
        <v>128</v>
      </c>
      <c r="W125" s="5">
        <v>129.30000000000001</v>
      </c>
      <c r="X125" s="5">
        <v>126.2</v>
      </c>
      <c r="Y125" s="5">
        <v>116.3</v>
      </c>
      <c r="Z125" s="5">
        <v>124.1</v>
      </c>
      <c r="AA125" s="5">
        <v>130.19999999999999</v>
      </c>
      <c r="AB125" s="5">
        <v>119.9</v>
      </c>
      <c r="AC125" s="5">
        <v>123.3</v>
      </c>
      <c r="AD125" s="5">
        <v>131.9</v>
      </c>
    </row>
    <row r="126" spans="1:30" x14ac:dyDescent="0.3">
      <c r="A126" t="s">
        <v>33</v>
      </c>
      <c r="B126" s="3">
        <v>2016</v>
      </c>
      <c r="C126" t="s">
        <v>39</v>
      </c>
      <c r="D126" s="5">
        <v>125.9</v>
      </c>
      <c r="E126" s="5">
        <v>143.9</v>
      </c>
      <c r="F126" s="5">
        <v>130.9</v>
      </c>
      <c r="G126" s="5">
        <v>131</v>
      </c>
      <c r="H126" s="5">
        <v>110.2</v>
      </c>
      <c r="I126" s="5">
        <v>135.5</v>
      </c>
      <c r="J126" s="5">
        <v>173.7</v>
      </c>
      <c r="K126" s="5">
        <v>184.4</v>
      </c>
      <c r="L126" s="5">
        <v>112</v>
      </c>
      <c r="M126" s="5">
        <v>142.80000000000001</v>
      </c>
      <c r="N126" s="5">
        <v>121.6</v>
      </c>
      <c r="O126" s="5">
        <v>136.9</v>
      </c>
      <c r="P126" s="5">
        <v>138.19999999999999</v>
      </c>
      <c r="Q126" s="5">
        <v>142.69999999999999</v>
      </c>
      <c r="R126" s="5">
        <v>127.6</v>
      </c>
      <c r="S126" s="5">
        <v>121.1</v>
      </c>
      <c r="T126" s="5">
        <v>126.6</v>
      </c>
      <c r="U126" s="5">
        <v>125.5</v>
      </c>
      <c r="V126" s="5">
        <v>115.5</v>
      </c>
      <c r="W126" s="5">
        <v>123.2</v>
      </c>
      <c r="X126" s="5">
        <v>120.6</v>
      </c>
      <c r="Y126" s="5">
        <v>112.3</v>
      </c>
      <c r="Z126" s="5">
        <v>119.9</v>
      </c>
      <c r="AA126" s="5">
        <v>129.30000000000001</v>
      </c>
      <c r="AB126" s="5">
        <v>118.8</v>
      </c>
      <c r="AC126" s="5">
        <v>119.6</v>
      </c>
      <c r="AD126" s="5">
        <v>128.1</v>
      </c>
    </row>
    <row r="127" spans="1:30" x14ac:dyDescent="0.3">
      <c r="A127" t="s">
        <v>34</v>
      </c>
      <c r="B127" s="3">
        <v>2016</v>
      </c>
      <c r="C127" t="s">
        <v>39</v>
      </c>
      <c r="D127" s="5">
        <v>127.7</v>
      </c>
      <c r="E127" s="5">
        <v>140.5</v>
      </c>
      <c r="F127" s="5">
        <v>128.30000000000001</v>
      </c>
      <c r="G127" s="5">
        <v>132.6</v>
      </c>
      <c r="H127" s="5">
        <v>115.5</v>
      </c>
      <c r="I127" s="5">
        <v>136.5</v>
      </c>
      <c r="J127" s="5">
        <v>159.69999999999999</v>
      </c>
      <c r="K127" s="5">
        <v>174.3</v>
      </c>
      <c r="L127" s="5">
        <v>109.9</v>
      </c>
      <c r="M127" s="5">
        <v>136.30000000000001</v>
      </c>
      <c r="N127" s="5">
        <v>124.4</v>
      </c>
      <c r="O127" s="5">
        <v>138.1</v>
      </c>
      <c r="P127" s="5">
        <v>136.80000000000001</v>
      </c>
      <c r="Q127" s="5">
        <v>138.69999999999999</v>
      </c>
      <c r="R127" s="5">
        <v>132.9</v>
      </c>
      <c r="S127" s="5">
        <v>127.2</v>
      </c>
      <c r="T127" s="5">
        <v>132</v>
      </c>
      <c r="U127" s="5">
        <v>125.5</v>
      </c>
      <c r="V127" s="5">
        <v>123.3</v>
      </c>
      <c r="W127" s="5">
        <v>126.4</v>
      </c>
      <c r="X127" s="5">
        <v>124.1</v>
      </c>
      <c r="Y127" s="5">
        <v>114.2</v>
      </c>
      <c r="Z127" s="5">
        <v>121.7</v>
      </c>
      <c r="AA127" s="5">
        <v>129.69999999999999</v>
      </c>
      <c r="AB127" s="5">
        <v>119.4</v>
      </c>
      <c r="AC127" s="5">
        <v>121.5</v>
      </c>
      <c r="AD127" s="5">
        <v>130.1</v>
      </c>
    </row>
    <row r="128" spans="1:30" x14ac:dyDescent="0.3">
      <c r="A128" t="s">
        <v>30</v>
      </c>
      <c r="B128" s="3">
        <v>2016</v>
      </c>
      <c r="C128" t="s">
        <v>40</v>
      </c>
      <c r="D128" s="5">
        <v>129.30000000000001</v>
      </c>
      <c r="E128" s="5">
        <v>139.5</v>
      </c>
      <c r="F128" s="5">
        <v>129.6</v>
      </c>
      <c r="G128" s="5">
        <v>134.5</v>
      </c>
      <c r="H128" s="5">
        <v>119.5</v>
      </c>
      <c r="I128" s="5">
        <v>138.5</v>
      </c>
      <c r="J128" s="5">
        <v>158.19999999999999</v>
      </c>
      <c r="K128" s="5">
        <v>171.8</v>
      </c>
      <c r="L128" s="5">
        <v>110.3</v>
      </c>
      <c r="M128" s="5">
        <v>134.30000000000001</v>
      </c>
      <c r="N128" s="5">
        <v>127.3</v>
      </c>
      <c r="O128" s="5">
        <v>139.9</v>
      </c>
      <c r="P128" s="5">
        <v>137.6</v>
      </c>
      <c r="Q128" s="5">
        <v>138</v>
      </c>
      <c r="R128" s="5">
        <v>137.19999999999999</v>
      </c>
      <c r="S128" s="5">
        <v>132.19999999999999</v>
      </c>
      <c r="T128" s="5">
        <v>136.5</v>
      </c>
      <c r="U128" s="5" t="s">
        <v>32</v>
      </c>
      <c r="V128" s="5">
        <v>128.19999999999999</v>
      </c>
      <c r="W128" s="5">
        <v>130</v>
      </c>
      <c r="X128" s="5">
        <v>126.7</v>
      </c>
      <c r="Y128" s="5">
        <v>116.4</v>
      </c>
      <c r="Z128" s="5">
        <v>125.2</v>
      </c>
      <c r="AA128" s="5">
        <v>130.80000000000001</v>
      </c>
      <c r="AB128" s="5">
        <v>120.9</v>
      </c>
      <c r="AC128" s="5">
        <v>123.8</v>
      </c>
      <c r="AD128" s="5">
        <v>133</v>
      </c>
    </row>
    <row r="129" spans="1:30" x14ac:dyDescent="0.3">
      <c r="A129" t="s">
        <v>33</v>
      </c>
      <c r="B129" s="3">
        <v>2016</v>
      </c>
      <c r="C129" t="s">
        <v>40</v>
      </c>
      <c r="D129" s="5">
        <v>126.8</v>
      </c>
      <c r="E129" s="5">
        <v>144.19999999999999</v>
      </c>
      <c r="F129" s="5">
        <v>136.6</v>
      </c>
      <c r="G129" s="5">
        <v>131.80000000000001</v>
      </c>
      <c r="H129" s="5">
        <v>111</v>
      </c>
      <c r="I129" s="5">
        <v>137</v>
      </c>
      <c r="J129" s="5">
        <v>179.5</v>
      </c>
      <c r="K129" s="5">
        <v>188.4</v>
      </c>
      <c r="L129" s="5">
        <v>113.3</v>
      </c>
      <c r="M129" s="5">
        <v>143.9</v>
      </c>
      <c r="N129" s="5">
        <v>121.7</v>
      </c>
      <c r="O129" s="5">
        <v>137.5</v>
      </c>
      <c r="P129" s="5">
        <v>139.80000000000001</v>
      </c>
      <c r="Q129" s="5">
        <v>142.9</v>
      </c>
      <c r="R129" s="5">
        <v>127.9</v>
      </c>
      <c r="S129" s="5">
        <v>121.1</v>
      </c>
      <c r="T129" s="5">
        <v>126.9</v>
      </c>
      <c r="U129" s="5">
        <v>126.4</v>
      </c>
      <c r="V129" s="5">
        <v>115.5</v>
      </c>
      <c r="W129" s="5">
        <v>123.5</v>
      </c>
      <c r="X129" s="5">
        <v>120.9</v>
      </c>
      <c r="Y129" s="5">
        <v>111.7</v>
      </c>
      <c r="Z129" s="5">
        <v>120.3</v>
      </c>
      <c r="AA129" s="5">
        <v>130.80000000000001</v>
      </c>
      <c r="AB129" s="5">
        <v>120</v>
      </c>
      <c r="AC129" s="5">
        <v>119.9</v>
      </c>
      <c r="AD129" s="5">
        <v>129</v>
      </c>
    </row>
    <row r="130" spans="1:30" x14ac:dyDescent="0.3">
      <c r="A130" t="s">
        <v>34</v>
      </c>
      <c r="B130" s="3">
        <v>2016</v>
      </c>
      <c r="C130" t="s">
        <v>40</v>
      </c>
      <c r="D130" s="5">
        <v>128.5</v>
      </c>
      <c r="E130" s="5">
        <v>141.19999999999999</v>
      </c>
      <c r="F130" s="5">
        <v>132.30000000000001</v>
      </c>
      <c r="G130" s="5">
        <v>133.5</v>
      </c>
      <c r="H130" s="5">
        <v>116.4</v>
      </c>
      <c r="I130" s="5">
        <v>137.80000000000001</v>
      </c>
      <c r="J130" s="5">
        <v>165.4</v>
      </c>
      <c r="K130" s="5">
        <v>177.4</v>
      </c>
      <c r="L130" s="5">
        <v>111.3</v>
      </c>
      <c r="M130" s="5">
        <v>137.5</v>
      </c>
      <c r="N130" s="5">
        <v>125</v>
      </c>
      <c r="O130" s="5">
        <v>138.80000000000001</v>
      </c>
      <c r="P130" s="5">
        <v>138.4</v>
      </c>
      <c r="Q130" s="5">
        <v>139.30000000000001</v>
      </c>
      <c r="R130" s="5">
        <v>133.5</v>
      </c>
      <c r="S130" s="5">
        <v>127.6</v>
      </c>
      <c r="T130" s="5">
        <v>132.69999999999999</v>
      </c>
      <c r="U130" s="5">
        <v>126.4</v>
      </c>
      <c r="V130" s="5">
        <v>123.4</v>
      </c>
      <c r="W130" s="5">
        <v>126.9</v>
      </c>
      <c r="X130" s="5">
        <v>124.5</v>
      </c>
      <c r="Y130" s="5">
        <v>113.9</v>
      </c>
      <c r="Z130" s="5">
        <v>122.4</v>
      </c>
      <c r="AA130" s="5">
        <v>130.80000000000001</v>
      </c>
      <c r="AB130" s="5">
        <v>120.5</v>
      </c>
      <c r="AC130" s="5">
        <v>121.9</v>
      </c>
      <c r="AD130" s="5">
        <v>131.1</v>
      </c>
    </row>
    <row r="131" spans="1:30" x14ac:dyDescent="0.3">
      <c r="A131" t="s">
        <v>30</v>
      </c>
      <c r="B131" s="3">
        <v>2016</v>
      </c>
      <c r="C131" t="s">
        <v>41</v>
      </c>
      <c r="D131" s="5">
        <v>130.1</v>
      </c>
      <c r="E131" s="5">
        <v>138.80000000000001</v>
      </c>
      <c r="F131" s="5">
        <v>130.30000000000001</v>
      </c>
      <c r="G131" s="5">
        <v>135.30000000000001</v>
      </c>
      <c r="H131" s="5">
        <v>119.9</v>
      </c>
      <c r="I131" s="5">
        <v>140.19999999999999</v>
      </c>
      <c r="J131" s="5">
        <v>156.9</v>
      </c>
      <c r="K131" s="5">
        <v>172.2</v>
      </c>
      <c r="L131" s="5">
        <v>112.1</v>
      </c>
      <c r="M131" s="5">
        <v>134.9</v>
      </c>
      <c r="N131" s="5">
        <v>128.1</v>
      </c>
      <c r="O131" s="5">
        <v>140.69999999999999</v>
      </c>
      <c r="P131" s="5">
        <v>138</v>
      </c>
      <c r="Q131" s="5">
        <v>138.9</v>
      </c>
      <c r="R131" s="5">
        <v>137.80000000000001</v>
      </c>
      <c r="S131" s="5">
        <v>133</v>
      </c>
      <c r="T131" s="5">
        <v>137.1</v>
      </c>
      <c r="U131" s="5" t="s">
        <v>32</v>
      </c>
      <c r="V131" s="5">
        <v>129.1</v>
      </c>
      <c r="W131" s="5">
        <v>130.6</v>
      </c>
      <c r="X131" s="5">
        <v>127</v>
      </c>
      <c r="Y131" s="5">
        <v>116</v>
      </c>
      <c r="Z131" s="5">
        <v>125.5</v>
      </c>
      <c r="AA131" s="5">
        <v>131.9</v>
      </c>
      <c r="AB131" s="5">
        <v>122</v>
      </c>
      <c r="AC131" s="5">
        <v>124.2</v>
      </c>
      <c r="AD131" s="5">
        <v>133.5</v>
      </c>
    </row>
    <row r="132" spans="1:30" x14ac:dyDescent="0.3">
      <c r="A132" t="s">
        <v>33</v>
      </c>
      <c r="B132" s="3">
        <v>2016</v>
      </c>
      <c r="C132" t="s">
        <v>41</v>
      </c>
      <c r="D132" s="5">
        <v>127.6</v>
      </c>
      <c r="E132" s="5">
        <v>140.30000000000001</v>
      </c>
      <c r="F132" s="5">
        <v>133.69999999999999</v>
      </c>
      <c r="G132" s="5">
        <v>132.19999999999999</v>
      </c>
      <c r="H132" s="5">
        <v>111.8</v>
      </c>
      <c r="I132" s="5">
        <v>135.80000000000001</v>
      </c>
      <c r="J132" s="5">
        <v>163.5</v>
      </c>
      <c r="K132" s="5">
        <v>182.3</v>
      </c>
      <c r="L132" s="5">
        <v>114.6</v>
      </c>
      <c r="M132" s="5">
        <v>144.6</v>
      </c>
      <c r="N132" s="5">
        <v>121.9</v>
      </c>
      <c r="O132" s="5">
        <v>138.1</v>
      </c>
      <c r="P132" s="5">
        <v>137.6</v>
      </c>
      <c r="Q132" s="5">
        <v>143.6</v>
      </c>
      <c r="R132" s="5">
        <v>128.30000000000001</v>
      </c>
      <c r="S132" s="5">
        <v>121.4</v>
      </c>
      <c r="T132" s="5">
        <v>127.3</v>
      </c>
      <c r="U132" s="5">
        <v>127.3</v>
      </c>
      <c r="V132" s="5">
        <v>114.7</v>
      </c>
      <c r="W132" s="5">
        <v>123.9</v>
      </c>
      <c r="X132" s="5">
        <v>121.2</v>
      </c>
      <c r="Y132" s="5">
        <v>110.4</v>
      </c>
      <c r="Z132" s="5">
        <v>120.6</v>
      </c>
      <c r="AA132" s="5">
        <v>131.5</v>
      </c>
      <c r="AB132" s="5">
        <v>120.9</v>
      </c>
      <c r="AC132" s="5">
        <v>119.9</v>
      </c>
      <c r="AD132" s="5">
        <v>128.4</v>
      </c>
    </row>
    <row r="133" spans="1:30" x14ac:dyDescent="0.3">
      <c r="A133" t="s">
        <v>34</v>
      </c>
      <c r="B133" s="3">
        <v>2016</v>
      </c>
      <c r="C133" t="s">
        <v>41</v>
      </c>
      <c r="D133" s="5">
        <v>129.30000000000001</v>
      </c>
      <c r="E133" s="5">
        <v>139.30000000000001</v>
      </c>
      <c r="F133" s="5">
        <v>131.6</v>
      </c>
      <c r="G133" s="5">
        <v>134.1</v>
      </c>
      <c r="H133" s="5">
        <v>116.9</v>
      </c>
      <c r="I133" s="5">
        <v>138.1</v>
      </c>
      <c r="J133" s="5">
        <v>159.1</v>
      </c>
      <c r="K133" s="5">
        <v>175.6</v>
      </c>
      <c r="L133" s="5">
        <v>112.9</v>
      </c>
      <c r="M133" s="5">
        <v>138.1</v>
      </c>
      <c r="N133" s="5">
        <v>125.5</v>
      </c>
      <c r="O133" s="5">
        <v>139.5</v>
      </c>
      <c r="P133" s="5">
        <v>137.9</v>
      </c>
      <c r="Q133" s="5">
        <v>140.19999999999999</v>
      </c>
      <c r="R133" s="5">
        <v>134.1</v>
      </c>
      <c r="S133" s="5">
        <v>128.19999999999999</v>
      </c>
      <c r="T133" s="5">
        <v>133.19999999999999</v>
      </c>
      <c r="U133" s="5">
        <v>127.3</v>
      </c>
      <c r="V133" s="5">
        <v>123.6</v>
      </c>
      <c r="W133" s="5">
        <v>127.4</v>
      </c>
      <c r="X133" s="5">
        <v>124.8</v>
      </c>
      <c r="Y133" s="5">
        <v>113.1</v>
      </c>
      <c r="Z133" s="5">
        <v>122.7</v>
      </c>
      <c r="AA133" s="5">
        <v>131.69999999999999</v>
      </c>
      <c r="AB133" s="5">
        <v>121.5</v>
      </c>
      <c r="AC133" s="5">
        <v>122.1</v>
      </c>
      <c r="AD133" s="5">
        <v>131.1</v>
      </c>
    </row>
    <row r="134" spans="1:30" x14ac:dyDescent="0.3">
      <c r="A134" t="s">
        <v>30</v>
      </c>
      <c r="B134" s="3">
        <v>2016</v>
      </c>
      <c r="C134" t="s">
        <v>42</v>
      </c>
      <c r="D134" s="5">
        <v>130.80000000000001</v>
      </c>
      <c r="E134" s="5">
        <v>138.19999999999999</v>
      </c>
      <c r="F134" s="5">
        <v>130.5</v>
      </c>
      <c r="G134" s="5">
        <v>135.5</v>
      </c>
      <c r="H134" s="5">
        <v>120.2</v>
      </c>
      <c r="I134" s="5">
        <v>139.19999999999999</v>
      </c>
      <c r="J134" s="5">
        <v>149.5</v>
      </c>
      <c r="K134" s="5">
        <v>170.4</v>
      </c>
      <c r="L134" s="5">
        <v>113.1</v>
      </c>
      <c r="M134" s="5">
        <v>135.80000000000001</v>
      </c>
      <c r="N134" s="5">
        <v>128.80000000000001</v>
      </c>
      <c r="O134" s="5">
        <v>141.5</v>
      </c>
      <c r="P134" s="5">
        <v>137.19999999999999</v>
      </c>
      <c r="Q134" s="5">
        <v>139.9</v>
      </c>
      <c r="R134" s="5">
        <v>138.5</v>
      </c>
      <c r="S134" s="5">
        <v>133.5</v>
      </c>
      <c r="T134" s="5">
        <v>137.80000000000001</v>
      </c>
      <c r="U134" s="5" t="s">
        <v>32</v>
      </c>
      <c r="V134" s="5">
        <v>129.69999999999999</v>
      </c>
      <c r="W134" s="5">
        <v>131.1</v>
      </c>
      <c r="X134" s="5">
        <v>127.8</v>
      </c>
      <c r="Y134" s="5">
        <v>117</v>
      </c>
      <c r="Z134" s="5">
        <v>125.7</v>
      </c>
      <c r="AA134" s="5">
        <v>132.19999999999999</v>
      </c>
      <c r="AB134" s="5">
        <v>122.8</v>
      </c>
      <c r="AC134" s="5">
        <v>124.9</v>
      </c>
      <c r="AD134" s="5">
        <v>133.4</v>
      </c>
    </row>
    <row r="135" spans="1:30" x14ac:dyDescent="0.3">
      <c r="A135" t="s">
        <v>33</v>
      </c>
      <c r="B135" s="3">
        <v>2016</v>
      </c>
      <c r="C135" t="s">
        <v>42</v>
      </c>
      <c r="D135" s="5">
        <v>128.1</v>
      </c>
      <c r="E135" s="5">
        <v>137.69999999999999</v>
      </c>
      <c r="F135" s="5">
        <v>130.6</v>
      </c>
      <c r="G135" s="5">
        <v>132.6</v>
      </c>
      <c r="H135" s="5">
        <v>111.9</v>
      </c>
      <c r="I135" s="5">
        <v>132.5</v>
      </c>
      <c r="J135" s="5">
        <v>152.9</v>
      </c>
      <c r="K135" s="5">
        <v>173.6</v>
      </c>
      <c r="L135" s="5">
        <v>115.1</v>
      </c>
      <c r="M135" s="5">
        <v>144.80000000000001</v>
      </c>
      <c r="N135" s="5">
        <v>122.1</v>
      </c>
      <c r="O135" s="5">
        <v>138.80000000000001</v>
      </c>
      <c r="P135" s="5">
        <v>135.69999999999999</v>
      </c>
      <c r="Q135" s="5">
        <v>143.9</v>
      </c>
      <c r="R135" s="5">
        <v>128.69999999999999</v>
      </c>
      <c r="S135" s="5">
        <v>121.6</v>
      </c>
      <c r="T135" s="5">
        <v>127.7</v>
      </c>
      <c r="U135" s="5">
        <v>127.9</v>
      </c>
      <c r="V135" s="5">
        <v>114.8</v>
      </c>
      <c r="W135" s="5">
        <v>124.3</v>
      </c>
      <c r="X135" s="5">
        <v>121.4</v>
      </c>
      <c r="Y135" s="5">
        <v>111.8</v>
      </c>
      <c r="Z135" s="5">
        <v>120.8</v>
      </c>
      <c r="AA135" s="5">
        <v>131.6</v>
      </c>
      <c r="AB135" s="5">
        <v>121.2</v>
      </c>
      <c r="AC135" s="5">
        <v>120.5</v>
      </c>
      <c r="AD135" s="5">
        <v>128</v>
      </c>
    </row>
    <row r="136" spans="1:30" x14ac:dyDescent="0.3">
      <c r="A136" t="s">
        <v>34</v>
      </c>
      <c r="B136" s="3">
        <v>2016</v>
      </c>
      <c r="C136" t="s">
        <v>42</v>
      </c>
      <c r="D136" s="5">
        <v>129.9</v>
      </c>
      <c r="E136" s="5">
        <v>138</v>
      </c>
      <c r="F136" s="5">
        <v>130.5</v>
      </c>
      <c r="G136" s="5">
        <v>134.4</v>
      </c>
      <c r="H136" s="5">
        <v>117.2</v>
      </c>
      <c r="I136" s="5">
        <v>136.1</v>
      </c>
      <c r="J136" s="5">
        <v>150.69999999999999</v>
      </c>
      <c r="K136" s="5">
        <v>171.5</v>
      </c>
      <c r="L136" s="5">
        <v>113.8</v>
      </c>
      <c r="M136" s="5">
        <v>138.80000000000001</v>
      </c>
      <c r="N136" s="5">
        <v>126</v>
      </c>
      <c r="O136" s="5">
        <v>140.19999999999999</v>
      </c>
      <c r="P136" s="5">
        <v>136.6</v>
      </c>
      <c r="Q136" s="5">
        <v>141</v>
      </c>
      <c r="R136" s="5">
        <v>134.6</v>
      </c>
      <c r="S136" s="5">
        <v>128.6</v>
      </c>
      <c r="T136" s="5">
        <v>133.80000000000001</v>
      </c>
      <c r="U136" s="5">
        <v>127.9</v>
      </c>
      <c r="V136" s="5">
        <v>124.1</v>
      </c>
      <c r="W136" s="5">
        <v>127.9</v>
      </c>
      <c r="X136" s="5">
        <v>125.4</v>
      </c>
      <c r="Y136" s="5">
        <v>114.3</v>
      </c>
      <c r="Z136" s="5">
        <v>122.9</v>
      </c>
      <c r="AA136" s="5">
        <v>131.80000000000001</v>
      </c>
      <c r="AB136" s="5">
        <v>122.1</v>
      </c>
      <c r="AC136" s="5">
        <v>122.8</v>
      </c>
      <c r="AD136" s="5">
        <v>130.9</v>
      </c>
    </row>
    <row r="137" spans="1:30" x14ac:dyDescent="0.3">
      <c r="A137" t="s">
        <v>30</v>
      </c>
      <c r="B137" s="3">
        <v>2016</v>
      </c>
      <c r="C137" t="s">
        <v>43</v>
      </c>
      <c r="D137" s="5">
        <v>131.30000000000001</v>
      </c>
      <c r="E137" s="5">
        <v>137.6</v>
      </c>
      <c r="F137" s="5">
        <v>130.1</v>
      </c>
      <c r="G137" s="5">
        <v>136</v>
      </c>
      <c r="H137" s="5">
        <v>120.8</v>
      </c>
      <c r="I137" s="5">
        <v>138.4</v>
      </c>
      <c r="J137" s="5">
        <v>149.19999999999999</v>
      </c>
      <c r="K137" s="5">
        <v>170.2</v>
      </c>
      <c r="L137" s="5">
        <v>113.4</v>
      </c>
      <c r="M137" s="5">
        <v>136.30000000000001</v>
      </c>
      <c r="N137" s="5">
        <v>128.69999999999999</v>
      </c>
      <c r="O137" s="5">
        <v>142.4</v>
      </c>
      <c r="P137" s="5">
        <v>137.4</v>
      </c>
      <c r="Q137" s="5">
        <v>140.9</v>
      </c>
      <c r="R137" s="5">
        <v>139.6</v>
      </c>
      <c r="S137" s="5">
        <v>134.30000000000001</v>
      </c>
      <c r="T137" s="5">
        <v>138.80000000000001</v>
      </c>
      <c r="U137" s="5" t="s">
        <v>32</v>
      </c>
      <c r="V137" s="5">
        <v>129.80000000000001</v>
      </c>
      <c r="W137" s="5">
        <v>131.80000000000001</v>
      </c>
      <c r="X137" s="5">
        <v>128.69999999999999</v>
      </c>
      <c r="Y137" s="5">
        <v>117.8</v>
      </c>
      <c r="Z137" s="5">
        <v>126.5</v>
      </c>
      <c r="AA137" s="5">
        <v>133</v>
      </c>
      <c r="AB137" s="5">
        <v>123</v>
      </c>
      <c r="AC137" s="5">
        <v>125.7</v>
      </c>
      <c r="AD137" s="5">
        <v>133.80000000000001</v>
      </c>
    </row>
    <row r="138" spans="1:30" x14ac:dyDescent="0.3">
      <c r="A138" t="s">
        <v>33</v>
      </c>
      <c r="B138" s="3">
        <v>2016</v>
      </c>
      <c r="C138" t="s">
        <v>43</v>
      </c>
      <c r="D138" s="5">
        <v>128.69999999999999</v>
      </c>
      <c r="E138" s="5">
        <v>138.4</v>
      </c>
      <c r="F138" s="5">
        <v>130.30000000000001</v>
      </c>
      <c r="G138" s="5">
        <v>132.69999999999999</v>
      </c>
      <c r="H138" s="5">
        <v>112.5</v>
      </c>
      <c r="I138" s="5">
        <v>130.4</v>
      </c>
      <c r="J138" s="5">
        <v>155.1</v>
      </c>
      <c r="K138" s="5">
        <v>175.7</v>
      </c>
      <c r="L138" s="5">
        <v>115.4</v>
      </c>
      <c r="M138" s="5">
        <v>145.30000000000001</v>
      </c>
      <c r="N138" s="5">
        <v>122.5</v>
      </c>
      <c r="O138" s="5">
        <v>139.6</v>
      </c>
      <c r="P138" s="5">
        <v>136.30000000000001</v>
      </c>
      <c r="Q138" s="5">
        <v>144.30000000000001</v>
      </c>
      <c r="R138" s="5">
        <v>129.1</v>
      </c>
      <c r="S138" s="5">
        <v>121.9</v>
      </c>
      <c r="T138" s="5">
        <v>128</v>
      </c>
      <c r="U138" s="5">
        <v>128.69999999999999</v>
      </c>
      <c r="V138" s="5">
        <v>115.2</v>
      </c>
      <c r="W138" s="5">
        <v>124.5</v>
      </c>
      <c r="X138" s="5">
        <v>121.8</v>
      </c>
      <c r="Y138" s="5">
        <v>112.8</v>
      </c>
      <c r="Z138" s="5">
        <v>121.2</v>
      </c>
      <c r="AA138" s="5">
        <v>131.9</v>
      </c>
      <c r="AB138" s="5">
        <v>120.8</v>
      </c>
      <c r="AC138" s="5">
        <v>120.9</v>
      </c>
      <c r="AD138" s="5">
        <v>128.6</v>
      </c>
    </row>
    <row r="139" spans="1:30" x14ac:dyDescent="0.3">
      <c r="A139" t="s">
        <v>34</v>
      </c>
      <c r="B139" s="3">
        <v>2016</v>
      </c>
      <c r="C139" t="s">
        <v>43</v>
      </c>
      <c r="D139" s="5">
        <v>130.5</v>
      </c>
      <c r="E139" s="5">
        <v>137.9</v>
      </c>
      <c r="F139" s="5">
        <v>130.19999999999999</v>
      </c>
      <c r="G139" s="5">
        <v>134.80000000000001</v>
      </c>
      <c r="H139" s="5">
        <v>117.8</v>
      </c>
      <c r="I139" s="5">
        <v>134.69999999999999</v>
      </c>
      <c r="J139" s="5">
        <v>151.19999999999999</v>
      </c>
      <c r="K139" s="5">
        <v>172.1</v>
      </c>
      <c r="L139" s="5">
        <v>114.1</v>
      </c>
      <c r="M139" s="5">
        <v>139.30000000000001</v>
      </c>
      <c r="N139" s="5">
        <v>126.1</v>
      </c>
      <c r="O139" s="5">
        <v>141.1</v>
      </c>
      <c r="P139" s="5">
        <v>137</v>
      </c>
      <c r="Q139" s="5">
        <v>141.80000000000001</v>
      </c>
      <c r="R139" s="5">
        <v>135.5</v>
      </c>
      <c r="S139" s="5">
        <v>129.1</v>
      </c>
      <c r="T139" s="5">
        <v>134.5</v>
      </c>
      <c r="U139" s="5">
        <v>128.69999999999999</v>
      </c>
      <c r="V139" s="5">
        <v>124.3</v>
      </c>
      <c r="W139" s="5">
        <v>128.4</v>
      </c>
      <c r="X139" s="5">
        <v>126.1</v>
      </c>
      <c r="Y139" s="5">
        <v>115.2</v>
      </c>
      <c r="Z139" s="5">
        <v>123.5</v>
      </c>
      <c r="AA139" s="5">
        <v>132.4</v>
      </c>
      <c r="AB139" s="5">
        <v>122.1</v>
      </c>
      <c r="AC139" s="5">
        <v>123.4</v>
      </c>
      <c r="AD139" s="5">
        <v>131.4</v>
      </c>
    </row>
    <row r="140" spans="1:30" x14ac:dyDescent="0.3">
      <c r="A140" t="s">
        <v>30</v>
      </c>
      <c r="B140" s="3">
        <v>2016</v>
      </c>
      <c r="C140" t="s">
        <v>45</v>
      </c>
      <c r="D140" s="5">
        <v>132</v>
      </c>
      <c r="E140" s="5">
        <v>137.4</v>
      </c>
      <c r="F140" s="5">
        <v>130.6</v>
      </c>
      <c r="G140" s="5">
        <v>136.19999999999999</v>
      </c>
      <c r="H140" s="5">
        <v>121.1</v>
      </c>
      <c r="I140" s="5">
        <v>136.9</v>
      </c>
      <c r="J140" s="5">
        <v>141.80000000000001</v>
      </c>
      <c r="K140" s="5">
        <v>170</v>
      </c>
      <c r="L140" s="5">
        <v>113.4</v>
      </c>
      <c r="M140" s="5">
        <v>136.80000000000001</v>
      </c>
      <c r="N140" s="5">
        <v>128.69999999999999</v>
      </c>
      <c r="O140" s="5">
        <v>143.1</v>
      </c>
      <c r="P140" s="5">
        <v>136.6</v>
      </c>
      <c r="Q140" s="5">
        <v>141.19999999999999</v>
      </c>
      <c r="R140" s="5">
        <v>139.9</v>
      </c>
      <c r="S140" s="5">
        <v>134.5</v>
      </c>
      <c r="T140" s="5">
        <v>139.19999999999999</v>
      </c>
      <c r="U140" s="5" t="s">
        <v>32</v>
      </c>
      <c r="V140" s="5">
        <v>130.30000000000001</v>
      </c>
      <c r="W140" s="5">
        <v>132.1</v>
      </c>
      <c r="X140" s="5">
        <v>129.1</v>
      </c>
      <c r="Y140" s="5">
        <v>118.2</v>
      </c>
      <c r="Z140" s="5">
        <v>126.9</v>
      </c>
      <c r="AA140" s="5">
        <v>133.69999999999999</v>
      </c>
      <c r="AB140" s="5">
        <v>123.5</v>
      </c>
      <c r="AC140" s="5">
        <v>126.1</v>
      </c>
      <c r="AD140" s="5">
        <v>133.6</v>
      </c>
    </row>
    <row r="141" spans="1:30" x14ac:dyDescent="0.3">
      <c r="A141" t="s">
        <v>33</v>
      </c>
      <c r="B141" s="3">
        <v>2016</v>
      </c>
      <c r="C141" t="s">
        <v>45</v>
      </c>
      <c r="D141" s="5">
        <v>130.19999999999999</v>
      </c>
      <c r="E141" s="5">
        <v>138.5</v>
      </c>
      <c r="F141" s="5">
        <v>134.1</v>
      </c>
      <c r="G141" s="5">
        <v>132.9</v>
      </c>
      <c r="H141" s="5">
        <v>112.6</v>
      </c>
      <c r="I141" s="5">
        <v>130.80000000000001</v>
      </c>
      <c r="J141" s="5">
        <v>142</v>
      </c>
      <c r="K141" s="5">
        <v>174.9</v>
      </c>
      <c r="L141" s="5">
        <v>115.6</v>
      </c>
      <c r="M141" s="5">
        <v>145.4</v>
      </c>
      <c r="N141" s="5">
        <v>122.7</v>
      </c>
      <c r="O141" s="5">
        <v>140.30000000000001</v>
      </c>
      <c r="P141" s="5">
        <v>135.19999999999999</v>
      </c>
      <c r="Q141" s="5">
        <v>144.30000000000001</v>
      </c>
      <c r="R141" s="5">
        <v>129.6</v>
      </c>
      <c r="S141" s="5">
        <v>122.1</v>
      </c>
      <c r="T141" s="5">
        <v>128.5</v>
      </c>
      <c r="U141" s="5">
        <v>129.1</v>
      </c>
      <c r="V141" s="5">
        <v>116.2</v>
      </c>
      <c r="W141" s="5">
        <v>124.7</v>
      </c>
      <c r="X141" s="5">
        <v>122.1</v>
      </c>
      <c r="Y141" s="5">
        <v>113.4</v>
      </c>
      <c r="Z141" s="5">
        <v>121.7</v>
      </c>
      <c r="AA141" s="5">
        <v>132.1</v>
      </c>
      <c r="AB141" s="5">
        <v>121.3</v>
      </c>
      <c r="AC141" s="5">
        <v>121.3</v>
      </c>
      <c r="AD141" s="5">
        <v>128.5</v>
      </c>
    </row>
    <row r="142" spans="1:30" x14ac:dyDescent="0.3">
      <c r="A142" t="s">
        <v>34</v>
      </c>
      <c r="B142" s="3">
        <v>2016</v>
      </c>
      <c r="C142" t="s">
        <v>45</v>
      </c>
      <c r="D142" s="5">
        <v>131.4</v>
      </c>
      <c r="E142" s="5">
        <v>137.80000000000001</v>
      </c>
      <c r="F142" s="5">
        <v>132</v>
      </c>
      <c r="G142" s="5">
        <v>135</v>
      </c>
      <c r="H142" s="5">
        <v>118</v>
      </c>
      <c r="I142" s="5">
        <v>134.1</v>
      </c>
      <c r="J142" s="5">
        <v>141.9</v>
      </c>
      <c r="K142" s="5">
        <v>171.7</v>
      </c>
      <c r="L142" s="5">
        <v>114.1</v>
      </c>
      <c r="M142" s="5">
        <v>139.69999999999999</v>
      </c>
      <c r="N142" s="5">
        <v>126.2</v>
      </c>
      <c r="O142" s="5">
        <v>141.80000000000001</v>
      </c>
      <c r="P142" s="5">
        <v>136.1</v>
      </c>
      <c r="Q142" s="5">
        <v>142</v>
      </c>
      <c r="R142" s="5">
        <v>135.80000000000001</v>
      </c>
      <c r="S142" s="5">
        <v>129.30000000000001</v>
      </c>
      <c r="T142" s="5">
        <v>135</v>
      </c>
      <c r="U142" s="5">
        <v>129.1</v>
      </c>
      <c r="V142" s="5">
        <v>125</v>
      </c>
      <c r="W142" s="5">
        <v>128.6</v>
      </c>
      <c r="X142" s="5">
        <v>126.4</v>
      </c>
      <c r="Y142" s="5">
        <v>115.7</v>
      </c>
      <c r="Z142" s="5">
        <v>124</v>
      </c>
      <c r="AA142" s="5">
        <v>132.80000000000001</v>
      </c>
      <c r="AB142" s="5">
        <v>122.6</v>
      </c>
      <c r="AC142" s="5">
        <v>123.8</v>
      </c>
      <c r="AD142" s="5">
        <v>131.19999999999999</v>
      </c>
    </row>
    <row r="143" spans="1:30" x14ac:dyDescent="0.3">
      <c r="A143" t="s">
        <v>30</v>
      </c>
      <c r="B143" s="3">
        <v>2016</v>
      </c>
      <c r="C143" t="s">
        <v>46</v>
      </c>
      <c r="D143" s="5">
        <v>132.6</v>
      </c>
      <c r="E143" s="5">
        <v>137.30000000000001</v>
      </c>
      <c r="F143" s="5">
        <v>131.6</v>
      </c>
      <c r="G143" s="5">
        <v>136.30000000000001</v>
      </c>
      <c r="H143" s="5">
        <v>121.6</v>
      </c>
      <c r="I143" s="5">
        <v>135.6</v>
      </c>
      <c r="J143" s="5">
        <v>127.5</v>
      </c>
      <c r="K143" s="5">
        <v>167.9</v>
      </c>
      <c r="L143" s="5">
        <v>113.8</v>
      </c>
      <c r="M143" s="5">
        <v>137.5</v>
      </c>
      <c r="N143" s="5">
        <v>129.1</v>
      </c>
      <c r="O143" s="5">
        <v>143.6</v>
      </c>
      <c r="P143" s="5">
        <v>134.69999999999999</v>
      </c>
      <c r="Q143" s="5">
        <v>142.4</v>
      </c>
      <c r="R143" s="5">
        <v>140.4</v>
      </c>
      <c r="S143" s="5">
        <v>135.19999999999999</v>
      </c>
      <c r="T143" s="5">
        <v>139.69999999999999</v>
      </c>
      <c r="U143" s="5" t="s">
        <v>32</v>
      </c>
      <c r="V143" s="5">
        <v>132</v>
      </c>
      <c r="W143" s="5">
        <v>132.9</v>
      </c>
      <c r="X143" s="5">
        <v>129.69999999999999</v>
      </c>
      <c r="Y143" s="5">
        <v>118.6</v>
      </c>
      <c r="Z143" s="5">
        <v>127.3</v>
      </c>
      <c r="AA143" s="5">
        <v>134.19999999999999</v>
      </c>
      <c r="AB143" s="5">
        <v>121.9</v>
      </c>
      <c r="AC143" s="5">
        <v>126.3</v>
      </c>
      <c r="AD143" s="5">
        <v>132.80000000000001</v>
      </c>
    </row>
    <row r="144" spans="1:30" x14ac:dyDescent="0.3">
      <c r="A144" t="s">
        <v>33</v>
      </c>
      <c r="B144" s="3">
        <v>2016</v>
      </c>
      <c r="C144" t="s">
        <v>46</v>
      </c>
      <c r="D144" s="5">
        <v>131.6</v>
      </c>
      <c r="E144" s="5">
        <v>138.19999999999999</v>
      </c>
      <c r="F144" s="5">
        <v>134.9</v>
      </c>
      <c r="G144" s="5">
        <v>133.1</v>
      </c>
      <c r="H144" s="5">
        <v>113.5</v>
      </c>
      <c r="I144" s="5">
        <v>129.30000000000001</v>
      </c>
      <c r="J144" s="5">
        <v>121.1</v>
      </c>
      <c r="K144" s="5">
        <v>170.3</v>
      </c>
      <c r="L144" s="5">
        <v>115.5</v>
      </c>
      <c r="M144" s="5">
        <v>145.5</v>
      </c>
      <c r="N144" s="5">
        <v>123.1</v>
      </c>
      <c r="O144" s="5">
        <v>140.9</v>
      </c>
      <c r="P144" s="5">
        <v>132.80000000000001</v>
      </c>
      <c r="Q144" s="5">
        <v>145</v>
      </c>
      <c r="R144" s="5">
        <v>130</v>
      </c>
      <c r="S144" s="5">
        <v>122.2</v>
      </c>
      <c r="T144" s="5">
        <v>128.80000000000001</v>
      </c>
      <c r="U144" s="5">
        <v>128.5</v>
      </c>
      <c r="V144" s="5">
        <v>117.8</v>
      </c>
      <c r="W144" s="5">
        <v>125</v>
      </c>
      <c r="X144" s="5">
        <v>122.3</v>
      </c>
      <c r="Y144" s="5">
        <v>113.7</v>
      </c>
      <c r="Z144" s="5">
        <v>121.8</v>
      </c>
      <c r="AA144" s="5">
        <v>132.30000000000001</v>
      </c>
      <c r="AB144" s="5">
        <v>119.9</v>
      </c>
      <c r="AC144" s="5">
        <v>121.4</v>
      </c>
      <c r="AD144" s="5">
        <v>127.6</v>
      </c>
    </row>
    <row r="145" spans="1:30" x14ac:dyDescent="0.3">
      <c r="A145" t="s">
        <v>34</v>
      </c>
      <c r="B145" s="3">
        <v>2016</v>
      </c>
      <c r="C145" t="s">
        <v>46</v>
      </c>
      <c r="D145" s="5">
        <v>132.30000000000001</v>
      </c>
      <c r="E145" s="5">
        <v>137.6</v>
      </c>
      <c r="F145" s="5">
        <v>132.9</v>
      </c>
      <c r="G145" s="5">
        <v>135.1</v>
      </c>
      <c r="H145" s="5">
        <v>118.6</v>
      </c>
      <c r="I145" s="5">
        <v>132.69999999999999</v>
      </c>
      <c r="J145" s="5">
        <v>125.3</v>
      </c>
      <c r="K145" s="5">
        <v>168.7</v>
      </c>
      <c r="L145" s="5">
        <v>114.4</v>
      </c>
      <c r="M145" s="5">
        <v>140.19999999999999</v>
      </c>
      <c r="N145" s="5">
        <v>126.6</v>
      </c>
      <c r="O145" s="5">
        <v>142.30000000000001</v>
      </c>
      <c r="P145" s="5">
        <v>134</v>
      </c>
      <c r="Q145" s="5">
        <v>143.1</v>
      </c>
      <c r="R145" s="5">
        <v>136.30000000000001</v>
      </c>
      <c r="S145" s="5">
        <v>129.80000000000001</v>
      </c>
      <c r="T145" s="5">
        <v>135.4</v>
      </c>
      <c r="U145" s="5">
        <v>128.5</v>
      </c>
      <c r="V145" s="5">
        <v>126.6</v>
      </c>
      <c r="W145" s="5">
        <v>129.19999999999999</v>
      </c>
      <c r="X145" s="5">
        <v>126.9</v>
      </c>
      <c r="Y145" s="5">
        <v>116</v>
      </c>
      <c r="Z145" s="5">
        <v>124.2</v>
      </c>
      <c r="AA145" s="5">
        <v>133.1</v>
      </c>
      <c r="AB145" s="5">
        <v>121.1</v>
      </c>
      <c r="AC145" s="5">
        <v>123.9</v>
      </c>
      <c r="AD145" s="5">
        <v>130.4</v>
      </c>
    </row>
    <row r="146" spans="1:30" x14ac:dyDescent="0.3">
      <c r="A146" t="s">
        <v>30</v>
      </c>
      <c r="B146" s="3">
        <v>2017</v>
      </c>
      <c r="C146" t="s">
        <v>31</v>
      </c>
      <c r="D146" s="5">
        <v>133.1</v>
      </c>
      <c r="E146" s="5">
        <v>137.80000000000001</v>
      </c>
      <c r="F146" s="5">
        <v>131.9</v>
      </c>
      <c r="G146" s="5">
        <v>136.69999999999999</v>
      </c>
      <c r="H146" s="5">
        <v>122</v>
      </c>
      <c r="I146" s="5">
        <v>136</v>
      </c>
      <c r="J146" s="5">
        <v>119.8</v>
      </c>
      <c r="K146" s="5">
        <v>161.69999999999999</v>
      </c>
      <c r="L146" s="5">
        <v>114.8</v>
      </c>
      <c r="M146" s="5">
        <v>136.9</v>
      </c>
      <c r="N146" s="5">
        <v>129</v>
      </c>
      <c r="O146" s="5">
        <v>143.9</v>
      </c>
      <c r="P146" s="5">
        <v>133.69999999999999</v>
      </c>
      <c r="Q146" s="5">
        <v>143.1</v>
      </c>
      <c r="R146" s="5">
        <v>140.69999999999999</v>
      </c>
      <c r="S146" s="5">
        <v>135.80000000000001</v>
      </c>
      <c r="T146" s="5">
        <v>140</v>
      </c>
      <c r="U146" s="5" t="s">
        <v>32</v>
      </c>
      <c r="V146" s="5">
        <v>132.1</v>
      </c>
      <c r="W146" s="5">
        <v>133.19999999999999</v>
      </c>
      <c r="X146" s="5">
        <v>129.9</v>
      </c>
      <c r="Y146" s="5">
        <v>119.1</v>
      </c>
      <c r="Z146" s="5">
        <v>127</v>
      </c>
      <c r="AA146" s="5">
        <v>134.6</v>
      </c>
      <c r="AB146" s="5">
        <v>122.3</v>
      </c>
      <c r="AC146" s="5">
        <v>126.6</v>
      </c>
      <c r="AD146" s="5">
        <v>132.4</v>
      </c>
    </row>
    <row r="147" spans="1:30" x14ac:dyDescent="0.3">
      <c r="A147" t="s">
        <v>33</v>
      </c>
      <c r="B147" s="3">
        <v>2017</v>
      </c>
      <c r="C147" t="s">
        <v>31</v>
      </c>
      <c r="D147" s="5">
        <v>132.19999999999999</v>
      </c>
      <c r="E147" s="5">
        <v>138.9</v>
      </c>
      <c r="F147" s="5">
        <v>132.6</v>
      </c>
      <c r="G147" s="5">
        <v>133.1</v>
      </c>
      <c r="H147" s="5">
        <v>114</v>
      </c>
      <c r="I147" s="5">
        <v>129.6</v>
      </c>
      <c r="J147" s="5">
        <v>118.7</v>
      </c>
      <c r="K147" s="5">
        <v>155.1</v>
      </c>
      <c r="L147" s="5">
        <v>117.3</v>
      </c>
      <c r="M147" s="5">
        <v>144.9</v>
      </c>
      <c r="N147" s="5">
        <v>123.2</v>
      </c>
      <c r="O147" s="5">
        <v>141.6</v>
      </c>
      <c r="P147" s="5">
        <v>132</v>
      </c>
      <c r="Q147" s="5">
        <v>145.6</v>
      </c>
      <c r="R147" s="5">
        <v>130.19999999999999</v>
      </c>
      <c r="S147" s="5">
        <v>122.3</v>
      </c>
      <c r="T147" s="5">
        <v>129</v>
      </c>
      <c r="U147" s="5">
        <v>129.6</v>
      </c>
      <c r="V147" s="5">
        <v>118</v>
      </c>
      <c r="W147" s="5">
        <v>125.1</v>
      </c>
      <c r="X147" s="5">
        <v>122.6</v>
      </c>
      <c r="Y147" s="5">
        <v>115.2</v>
      </c>
      <c r="Z147" s="5">
        <v>122</v>
      </c>
      <c r="AA147" s="5">
        <v>132.4</v>
      </c>
      <c r="AB147" s="5">
        <v>120.9</v>
      </c>
      <c r="AC147" s="5">
        <v>122.1</v>
      </c>
      <c r="AD147" s="5">
        <v>127.8</v>
      </c>
    </row>
    <row r="148" spans="1:30" x14ac:dyDescent="0.3">
      <c r="A148" t="s">
        <v>34</v>
      </c>
      <c r="B148" s="3">
        <v>2017</v>
      </c>
      <c r="C148" t="s">
        <v>31</v>
      </c>
      <c r="D148" s="5">
        <v>132.80000000000001</v>
      </c>
      <c r="E148" s="5">
        <v>138.19999999999999</v>
      </c>
      <c r="F148" s="5">
        <v>132.19999999999999</v>
      </c>
      <c r="G148" s="5">
        <v>135.4</v>
      </c>
      <c r="H148" s="5">
        <v>119.1</v>
      </c>
      <c r="I148" s="5">
        <v>133</v>
      </c>
      <c r="J148" s="5">
        <v>119.4</v>
      </c>
      <c r="K148" s="5">
        <v>159.5</v>
      </c>
      <c r="L148" s="5">
        <v>115.6</v>
      </c>
      <c r="M148" s="5">
        <v>139.6</v>
      </c>
      <c r="N148" s="5">
        <v>126.6</v>
      </c>
      <c r="O148" s="5">
        <v>142.80000000000001</v>
      </c>
      <c r="P148" s="5">
        <v>133.1</v>
      </c>
      <c r="Q148" s="5">
        <v>143.80000000000001</v>
      </c>
      <c r="R148" s="5">
        <v>136.6</v>
      </c>
      <c r="S148" s="5">
        <v>130.19999999999999</v>
      </c>
      <c r="T148" s="5">
        <v>135.6</v>
      </c>
      <c r="U148" s="5">
        <v>129.6</v>
      </c>
      <c r="V148" s="5">
        <v>126.8</v>
      </c>
      <c r="W148" s="5">
        <v>129.4</v>
      </c>
      <c r="X148" s="5">
        <v>127.1</v>
      </c>
      <c r="Y148" s="5">
        <v>117</v>
      </c>
      <c r="Z148" s="5">
        <v>124.2</v>
      </c>
      <c r="AA148" s="5">
        <v>133.30000000000001</v>
      </c>
      <c r="AB148" s="5">
        <v>121.7</v>
      </c>
      <c r="AC148" s="5">
        <v>124.4</v>
      </c>
      <c r="AD148" s="5">
        <v>130.30000000000001</v>
      </c>
    </row>
    <row r="149" spans="1:30" x14ac:dyDescent="0.3">
      <c r="A149" t="s">
        <v>30</v>
      </c>
      <c r="B149" s="3">
        <v>2017</v>
      </c>
      <c r="C149" t="s">
        <v>35</v>
      </c>
      <c r="D149" s="5">
        <v>133.30000000000001</v>
      </c>
      <c r="E149" s="5">
        <v>138.30000000000001</v>
      </c>
      <c r="F149" s="5">
        <v>129.30000000000001</v>
      </c>
      <c r="G149" s="5">
        <v>137.19999999999999</v>
      </c>
      <c r="H149" s="5">
        <v>122.1</v>
      </c>
      <c r="I149" s="5">
        <v>138.69999999999999</v>
      </c>
      <c r="J149" s="5">
        <v>119.1</v>
      </c>
      <c r="K149" s="5">
        <v>156.9</v>
      </c>
      <c r="L149" s="5">
        <v>116.2</v>
      </c>
      <c r="M149" s="5">
        <v>136</v>
      </c>
      <c r="N149" s="5">
        <v>129.4</v>
      </c>
      <c r="O149" s="5">
        <v>144.4</v>
      </c>
      <c r="P149" s="5">
        <v>133.6</v>
      </c>
      <c r="Q149" s="5">
        <v>143.69999999999999</v>
      </c>
      <c r="R149" s="5">
        <v>140.9</v>
      </c>
      <c r="S149" s="5">
        <v>135.80000000000001</v>
      </c>
      <c r="T149" s="5">
        <v>140.19999999999999</v>
      </c>
      <c r="U149" s="5" t="s">
        <v>32</v>
      </c>
      <c r="V149" s="5">
        <v>133.19999999999999</v>
      </c>
      <c r="W149" s="5">
        <v>133.6</v>
      </c>
      <c r="X149" s="5">
        <v>130.1</v>
      </c>
      <c r="Y149" s="5">
        <v>119.5</v>
      </c>
      <c r="Z149" s="5">
        <v>127.7</v>
      </c>
      <c r="AA149" s="5">
        <v>134.9</v>
      </c>
      <c r="AB149" s="5">
        <v>123.2</v>
      </c>
      <c r="AC149" s="5">
        <v>127</v>
      </c>
      <c r="AD149" s="5">
        <v>132.6</v>
      </c>
    </row>
    <row r="150" spans="1:30" x14ac:dyDescent="0.3">
      <c r="A150" t="s">
        <v>33</v>
      </c>
      <c r="B150" s="3">
        <v>2017</v>
      </c>
      <c r="C150" t="s">
        <v>35</v>
      </c>
      <c r="D150" s="5">
        <v>132.80000000000001</v>
      </c>
      <c r="E150" s="5">
        <v>139.80000000000001</v>
      </c>
      <c r="F150" s="5">
        <v>129.30000000000001</v>
      </c>
      <c r="G150" s="5">
        <v>133.5</v>
      </c>
      <c r="H150" s="5">
        <v>114.3</v>
      </c>
      <c r="I150" s="5">
        <v>131.4</v>
      </c>
      <c r="J150" s="5">
        <v>120.2</v>
      </c>
      <c r="K150" s="5">
        <v>143.1</v>
      </c>
      <c r="L150" s="5">
        <v>119.5</v>
      </c>
      <c r="M150" s="5">
        <v>144</v>
      </c>
      <c r="N150" s="5">
        <v>123.4</v>
      </c>
      <c r="O150" s="5">
        <v>141.9</v>
      </c>
      <c r="P150" s="5">
        <v>132.1</v>
      </c>
      <c r="Q150" s="5">
        <v>146.30000000000001</v>
      </c>
      <c r="R150" s="5">
        <v>130.5</v>
      </c>
      <c r="S150" s="5">
        <v>122.5</v>
      </c>
      <c r="T150" s="5">
        <v>129.30000000000001</v>
      </c>
      <c r="U150" s="5">
        <v>130.5</v>
      </c>
      <c r="V150" s="5">
        <v>119.2</v>
      </c>
      <c r="W150" s="5">
        <v>125.3</v>
      </c>
      <c r="X150" s="5">
        <v>122.9</v>
      </c>
      <c r="Y150" s="5">
        <v>115.5</v>
      </c>
      <c r="Z150" s="5">
        <v>122.2</v>
      </c>
      <c r="AA150" s="5">
        <v>132.4</v>
      </c>
      <c r="AB150" s="5">
        <v>121.7</v>
      </c>
      <c r="AC150" s="5">
        <v>122.4</v>
      </c>
      <c r="AD150" s="5">
        <v>128.19999999999999</v>
      </c>
    </row>
    <row r="151" spans="1:30" x14ac:dyDescent="0.3">
      <c r="A151" t="s">
        <v>34</v>
      </c>
      <c r="B151" s="3">
        <v>2017</v>
      </c>
      <c r="C151" t="s">
        <v>35</v>
      </c>
      <c r="D151" s="5">
        <v>133.1</v>
      </c>
      <c r="E151" s="5">
        <v>138.80000000000001</v>
      </c>
      <c r="F151" s="5">
        <v>129.30000000000001</v>
      </c>
      <c r="G151" s="5">
        <v>135.80000000000001</v>
      </c>
      <c r="H151" s="5">
        <v>119.2</v>
      </c>
      <c r="I151" s="5">
        <v>135.30000000000001</v>
      </c>
      <c r="J151" s="5">
        <v>119.5</v>
      </c>
      <c r="K151" s="5">
        <v>152.19999999999999</v>
      </c>
      <c r="L151" s="5">
        <v>117.3</v>
      </c>
      <c r="M151" s="5">
        <v>138.69999999999999</v>
      </c>
      <c r="N151" s="5">
        <v>126.9</v>
      </c>
      <c r="O151" s="5">
        <v>143.19999999999999</v>
      </c>
      <c r="P151" s="5">
        <v>133</v>
      </c>
      <c r="Q151" s="5">
        <v>144.4</v>
      </c>
      <c r="R151" s="5">
        <v>136.80000000000001</v>
      </c>
      <c r="S151" s="5">
        <v>130.30000000000001</v>
      </c>
      <c r="T151" s="5">
        <v>135.9</v>
      </c>
      <c r="U151" s="5">
        <v>130.5</v>
      </c>
      <c r="V151" s="5">
        <v>127.9</v>
      </c>
      <c r="W151" s="5">
        <v>129.69999999999999</v>
      </c>
      <c r="X151" s="5">
        <v>127.4</v>
      </c>
      <c r="Y151" s="5">
        <v>117.4</v>
      </c>
      <c r="Z151" s="5">
        <v>124.6</v>
      </c>
      <c r="AA151" s="5">
        <v>133.4</v>
      </c>
      <c r="AB151" s="5">
        <v>122.6</v>
      </c>
      <c r="AC151" s="5">
        <v>124.8</v>
      </c>
      <c r="AD151" s="5">
        <v>130.6</v>
      </c>
    </row>
    <row r="152" spans="1:30" x14ac:dyDescent="0.3">
      <c r="A152" t="s">
        <v>30</v>
      </c>
      <c r="B152" s="3">
        <v>2017</v>
      </c>
      <c r="C152" t="s">
        <v>36</v>
      </c>
      <c r="D152" s="5">
        <v>133.6</v>
      </c>
      <c r="E152" s="5">
        <v>138.80000000000001</v>
      </c>
      <c r="F152" s="5">
        <v>128.80000000000001</v>
      </c>
      <c r="G152" s="5">
        <v>137.19999999999999</v>
      </c>
      <c r="H152" s="5">
        <v>121.6</v>
      </c>
      <c r="I152" s="5">
        <v>139.69999999999999</v>
      </c>
      <c r="J152" s="5">
        <v>119.7</v>
      </c>
      <c r="K152" s="5">
        <v>148</v>
      </c>
      <c r="L152" s="5">
        <v>116.9</v>
      </c>
      <c r="M152" s="5">
        <v>135.6</v>
      </c>
      <c r="N152" s="5">
        <v>129.80000000000001</v>
      </c>
      <c r="O152" s="5">
        <v>145.4</v>
      </c>
      <c r="P152" s="5">
        <v>133.4</v>
      </c>
      <c r="Q152" s="5">
        <v>144.19999999999999</v>
      </c>
      <c r="R152" s="5">
        <v>141.6</v>
      </c>
      <c r="S152" s="5">
        <v>136.19999999999999</v>
      </c>
      <c r="T152" s="5">
        <v>140.80000000000001</v>
      </c>
      <c r="U152" s="5" t="s">
        <v>32</v>
      </c>
      <c r="V152" s="5">
        <v>134.19999999999999</v>
      </c>
      <c r="W152" s="5">
        <v>134.1</v>
      </c>
      <c r="X152" s="5">
        <v>130.6</v>
      </c>
      <c r="Y152" s="5">
        <v>119.8</v>
      </c>
      <c r="Z152" s="5">
        <v>128.30000000000001</v>
      </c>
      <c r="AA152" s="5">
        <v>135.19999999999999</v>
      </c>
      <c r="AB152" s="5">
        <v>123.3</v>
      </c>
      <c r="AC152" s="5">
        <v>127.4</v>
      </c>
      <c r="AD152" s="5">
        <v>132.80000000000001</v>
      </c>
    </row>
    <row r="153" spans="1:30" x14ac:dyDescent="0.3">
      <c r="A153" t="s">
        <v>33</v>
      </c>
      <c r="B153" s="3">
        <v>2017</v>
      </c>
      <c r="C153" t="s">
        <v>36</v>
      </c>
      <c r="D153" s="5">
        <v>132.69999999999999</v>
      </c>
      <c r="E153" s="5">
        <v>139.4</v>
      </c>
      <c r="F153" s="5">
        <v>128.4</v>
      </c>
      <c r="G153" s="5">
        <v>134.9</v>
      </c>
      <c r="H153" s="5">
        <v>114</v>
      </c>
      <c r="I153" s="5">
        <v>136.80000000000001</v>
      </c>
      <c r="J153" s="5">
        <v>122.2</v>
      </c>
      <c r="K153" s="5">
        <v>135.80000000000001</v>
      </c>
      <c r="L153" s="5">
        <v>120.3</v>
      </c>
      <c r="M153" s="5">
        <v>142.6</v>
      </c>
      <c r="N153" s="5">
        <v>123.6</v>
      </c>
      <c r="O153" s="5">
        <v>142.4</v>
      </c>
      <c r="P153" s="5">
        <v>132.6</v>
      </c>
      <c r="Q153" s="5">
        <v>147.5</v>
      </c>
      <c r="R153" s="5">
        <v>130.80000000000001</v>
      </c>
      <c r="S153" s="5">
        <v>122.8</v>
      </c>
      <c r="T153" s="5">
        <v>129.6</v>
      </c>
      <c r="U153" s="5">
        <v>131.1</v>
      </c>
      <c r="V153" s="5">
        <v>120.8</v>
      </c>
      <c r="W153" s="5">
        <v>125.6</v>
      </c>
      <c r="X153" s="5">
        <v>123.1</v>
      </c>
      <c r="Y153" s="5">
        <v>115.6</v>
      </c>
      <c r="Z153" s="5">
        <v>122.4</v>
      </c>
      <c r="AA153" s="5">
        <v>132.80000000000001</v>
      </c>
      <c r="AB153" s="5">
        <v>121.7</v>
      </c>
      <c r="AC153" s="5">
        <v>122.6</v>
      </c>
      <c r="AD153" s="5">
        <v>128.69999999999999</v>
      </c>
    </row>
    <row r="154" spans="1:30" x14ac:dyDescent="0.3">
      <c r="A154" t="s">
        <v>34</v>
      </c>
      <c r="B154" s="3">
        <v>2017</v>
      </c>
      <c r="C154" t="s">
        <v>36</v>
      </c>
      <c r="D154" s="5">
        <v>133.30000000000001</v>
      </c>
      <c r="E154" s="5">
        <v>139</v>
      </c>
      <c r="F154" s="5">
        <v>128.6</v>
      </c>
      <c r="G154" s="5">
        <v>136.30000000000001</v>
      </c>
      <c r="H154" s="5">
        <v>118.8</v>
      </c>
      <c r="I154" s="5">
        <v>138.30000000000001</v>
      </c>
      <c r="J154" s="5">
        <v>120.5</v>
      </c>
      <c r="K154" s="5">
        <v>143.9</v>
      </c>
      <c r="L154" s="5">
        <v>118</v>
      </c>
      <c r="M154" s="5">
        <v>137.9</v>
      </c>
      <c r="N154" s="5">
        <v>127.2</v>
      </c>
      <c r="O154" s="5">
        <v>144</v>
      </c>
      <c r="P154" s="5">
        <v>133.1</v>
      </c>
      <c r="Q154" s="5">
        <v>145.1</v>
      </c>
      <c r="R154" s="5">
        <v>137.30000000000001</v>
      </c>
      <c r="S154" s="5">
        <v>130.6</v>
      </c>
      <c r="T154" s="5">
        <v>136.4</v>
      </c>
      <c r="U154" s="5">
        <v>131.1</v>
      </c>
      <c r="V154" s="5">
        <v>129.1</v>
      </c>
      <c r="W154" s="5">
        <v>130.1</v>
      </c>
      <c r="X154" s="5">
        <v>127.8</v>
      </c>
      <c r="Y154" s="5">
        <v>117.6</v>
      </c>
      <c r="Z154" s="5">
        <v>125</v>
      </c>
      <c r="AA154" s="5">
        <v>133.80000000000001</v>
      </c>
      <c r="AB154" s="5">
        <v>122.6</v>
      </c>
      <c r="AC154" s="5">
        <v>125.1</v>
      </c>
      <c r="AD154" s="5">
        <v>130.9</v>
      </c>
    </row>
    <row r="155" spans="1:30" x14ac:dyDescent="0.3">
      <c r="A155" t="s">
        <v>30</v>
      </c>
      <c r="B155" s="3">
        <v>2017</v>
      </c>
      <c r="C155" t="s">
        <v>37</v>
      </c>
      <c r="D155" s="5">
        <v>133.19999999999999</v>
      </c>
      <c r="E155" s="5">
        <v>138.69999999999999</v>
      </c>
      <c r="F155" s="5">
        <v>127.1</v>
      </c>
      <c r="G155" s="5">
        <v>137.69999999999999</v>
      </c>
      <c r="H155" s="5">
        <v>121.3</v>
      </c>
      <c r="I155" s="5">
        <v>141.80000000000001</v>
      </c>
      <c r="J155" s="5">
        <v>121.5</v>
      </c>
      <c r="K155" s="5">
        <v>144.5</v>
      </c>
      <c r="L155" s="5">
        <v>117.4</v>
      </c>
      <c r="M155" s="5">
        <v>134.1</v>
      </c>
      <c r="N155" s="5">
        <v>130</v>
      </c>
      <c r="O155" s="5">
        <v>145.5</v>
      </c>
      <c r="P155" s="5">
        <v>133.5</v>
      </c>
      <c r="Q155" s="5">
        <v>144.4</v>
      </c>
      <c r="R155" s="5">
        <v>142.4</v>
      </c>
      <c r="S155" s="5">
        <v>136.80000000000001</v>
      </c>
      <c r="T155" s="5">
        <v>141.6</v>
      </c>
      <c r="U155" s="5" t="s">
        <v>32</v>
      </c>
      <c r="V155" s="5">
        <v>135</v>
      </c>
      <c r="W155" s="5">
        <v>134.30000000000001</v>
      </c>
      <c r="X155" s="5">
        <v>131</v>
      </c>
      <c r="Y155" s="5">
        <v>119.2</v>
      </c>
      <c r="Z155" s="5">
        <v>128.30000000000001</v>
      </c>
      <c r="AA155" s="5">
        <v>135.69999999999999</v>
      </c>
      <c r="AB155" s="5">
        <v>123.7</v>
      </c>
      <c r="AC155" s="5">
        <v>127.5</v>
      </c>
      <c r="AD155" s="5">
        <v>132.9</v>
      </c>
    </row>
    <row r="156" spans="1:30" x14ac:dyDescent="0.3">
      <c r="A156" t="s">
        <v>33</v>
      </c>
      <c r="B156" s="3">
        <v>2017</v>
      </c>
      <c r="C156" t="s">
        <v>37</v>
      </c>
      <c r="D156" s="5">
        <v>132.69999999999999</v>
      </c>
      <c r="E156" s="5">
        <v>140.6</v>
      </c>
      <c r="F156" s="5">
        <v>124.5</v>
      </c>
      <c r="G156" s="5">
        <v>136.30000000000001</v>
      </c>
      <c r="H156" s="5">
        <v>113.5</v>
      </c>
      <c r="I156" s="5">
        <v>137.69999999999999</v>
      </c>
      <c r="J156" s="5">
        <v>127.1</v>
      </c>
      <c r="K156" s="5">
        <v>133.80000000000001</v>
      </c>
      <c r="L156" s="5">
        <v>120.8</v>
      </c>
      <c r="M156" s="5">
        <v>141.30000000000001</v>
      </c>
      <c r="N156" s="5">
        <v>123.8</v>
      </c>
      <c r="O156" s="5">
        <v>142.6</v>
      </c>
      <c r="P156" s="5">
        <v>133.4</v>
      </c>
      <c r="Q156" s="5">
        <v>148</v>
      </c>
      <c r="R156" s="5">
        <v>131.19999999999999</v>
      </c>
      <c r="S156" s="5">
        <v>123</v>
      </c>
      <c r="T156" s="5">
        <v>130</v>
      </c>
      <c r="U156" s="5">
        <v>131.69999999999999</v>
      </c>
      <c r="V156" s="5">
        <v>121.4</v>
      </c>
      <c r="W156" s="5">
        <v>126</v>
      </c>
      <c r="X156" s="5">
        <v>123.4</v>
      </c>
      <c r="Y156" s="5">
        <v>114.3</v>
      </c>
      <c r="Z156" s="5">
        <v>122.6</v>
      </c>
      <c r="AA156" s="5">
        <v>133.6</v>
      </c>
      <c r="AB156" s="5">
        <v>122.2</v>
      </c>
      <c r="AC156" s="5">
        <v>122.5</v>
      </c>
      <c r="AD156" s="5">
        <v>129.1</v>
      </c>
    </row>
    <row r="157" spans="1:30" x14ac:dyDescent="0.3">
      <c r="A157" t="s">
        <v>34</v>
      </c>
      <c r="B157" s="3">
        <v>2017</v>
      </c>
      <c r="C157" t="s">
        <v>37</v>
      </c>
      <c r="D157" s="5">
        <v>133</v>
      </c>
      <c r="E157" s="5">
        <v>139.4</v>
      </c>
      <c r="F157" s="5">
        <v>126.1</v>
      </c>
      <c r="G157" s="5">
        <v>137.19999999999999</v>
      </c>
      <c r="H157" s="5">
        <v>118.4</v>
      </c>
      <c r="I157" s="5">
        <v>139.9</v>
      </c>
      <c r="J157" s="5">
        <v>123.4</v>
      </c>
      <c r="K157" s="5">
        <v>140.9</v>
      </c>
      <c r="L157" s="5">
        <v>118.5</v>
      </c>
      <c r="M157" s="5">
        <v>136.5</v>
      </c>
      <c r="N157" s="5">
        <v>127.4</v>
      </c>
      <c r="O157" s="5">
        <v>144.19999999999999</v>
      </c>
      <c r="P157" s="5">
        <v>133.5</v>
      </c>
      <c r="Q157" s="5">
        <v>145.4</v>
      </c>
      <c r="R157" s="5">
        <v>138</v>
      </c>
      <c r="S157" s="5">
        <v>131.1</v>
      </c>
      <c r="T157" s="5">
        <v>137</v>
      </c>
      <c r="U157" s="5">
        <v>131.69999999999999</v>
      </c>
      <c r="V157" s="5">
        <v>129.80000000000001</v>
      </c>
      <c r="W157" s="5">
        <v>130.4</v>
      </c>
      <c r="X157" s="5">
        <v>128.1</v>
      </c>
      <c r="Y157" s="5">
        <v>116.6</v>
      </c>
      <c r="Z157" s="5">
        <v>125.1</v>
      </c>
      <c r="AA157" s="5">
        <v>134.5</v>
      </c>
      <c r="AB157" s="5">
        <v>123.1</v>
      </c>
      <c r="AC157" s="5">
        <v>125.1</v>
      </c>
      <c r="AD157" s="5">
        <v>131.1</v>
      </c>
    </row>
    <row r="158" spans="1:30" x14ac:dyDescent="0.3">
      <c r="A158" t="s">
        <v>30</v>
      </c>
      <c r="B158" s="3">
        <v>2017</v>
      </c>
      <c r="C158" t="s">
        <v>38</v>
      </c>
      <c r="D158" s="5">
        <v>133.1</v>
      </c>
      <c r="E158" s="5">
        <v>140.30000000000001</v>
      </c>
      <c r="F158" s="5">
        <v>126.8</v>
      </c>
      <c r="G158" s="5">
        <v>138.19999999999999</v>
      </c>
      <c r="H158" s="5">
        <v>120.8</v>
      </c>
      <c r="I158" s="5">
        <v>140.19999999999999</v>
      </c>
      <c r="J158" s="5">
        <v>123.8</v>
      </c>
      <c r="K158" s="5">
        <v>141.80000000000001</v>
      </c>
      <c r="L158" s="5">
        <v>118.6</v>
      </c>
      <c r="M158" s="5">
        <v>134</v>
      </c>
      <c r="N158" s="5">
        <v>130.30000000000001</v>
      </c>
      <c r="O158" s="5">
        <v>145.80000000000001</v>
      </c>
      <c r="P158" s="5">
        <v>133.80000000000001</v>
      </c>
      <c r="Q158" s="5">
        <v>145.5</v>
      </c>
      <c r="R158" s="5">
        <v>142.5</v>
      </c>
      <c r="S158" s="5">
        <v>137.30000000000001</v>
      </c>
      <c r="T158" s="5">
        <v>141.80000000000001</v>
      </c>
      <c r="U158" s="5" t="s">
        <v>32</v>
      </c>
      <c r="V158" s="5">
        <v>135</v>
      </c>
      <c r="W158" s="5">
        <v>134.9</v>
      </c>
      <c r="X158" s="5">
        <v>131.4</v>
      </c>
      <c r="Y158" s="5">
        <v>119.4</v>
      </c>
      <c r="Z158" s="5">
        <v>129.4</v>
      </c>
      <c r="AA158" s="5">
        <v>136.30000000000001</v>
      </c>
      <c r="AB158" s="5">
        <v>123.7</v>
      </c>
      <c r="AC158" s="5">
        <v>127.9</v>
      </c>
      <c r="AD158" s="5">
        <v>133.30000000000001</v>
      </c>
    </row>
    <row r="159" spans="1:30" x14ac:dyDescent="0.3">
      <c r="A159" t="s">
        <v>33</v>
      </c>
      <c r="B159" s="3">
        <v>2017</v>
      </c>
      <c r="C159" t="s">
        <v>38</v>
      </c>
      <c r="D159" s="5">
        <v>132.6</v>
      </c>
      <c r="E159" s="5">
        <v>144.1</v>
      </c>
      <c r="F159" s="5">
        <v>125.6</v>
      </c>
      <c r="G159" s="5">
        <v>136.80000000000001</v>
      </c>
      <c r="H159" s="5">
        <v>113.4</v>
      </c>
      <c r="I159" s="5">
        <v>135.19999999999999</v>
      </c>
      <c r="J159" s="5">
        <v>129.19999999999999</v>
      </c>
      <c r="K159" s="5">
        <v>131.5</v>
      </c>
      <c r="L159" s="5">
        <v>121</v>
      </c>
      <c r="M159" s="5">
        <v>139.9</v>
      </c>
      <c r="N159" s="5">
        <v>123.8</v>
      </c>
      <c r="O159" s="5">
        <v>142.9</v>
      </c>
      <c r="P159" s="5">
        <v>133.6</v>
      </c>
      <c r="Q159" s="5">
        <v>148.30000000000001</v>
      </c>
      <c r="R159" s="5">
        <v>131.5</v>
      </c>
      <c r="S159" s="5">
        <v>123.2</v>
      </c>
      <c r="T159" s="5">
        <v>130.19999999999999</v>
      </c>
      <c r="U159" s="5">
        <v>132.1</v>
      </c>
      <c r="V159" s="5">
        <v>120.1</v>
      </c>
      <c r="W159" s="5">
        <v>126.5</v>
      </c>
      <c r="X159" s="5">
        <v>123.6</v>
      </c>
      <c r="Y159" s="5">
        <v>114.3</v>
      </c>
      <c r="Z159" s="5">
        <v>122.8</v>
      </c>
      <c r="AA159" s="5">
        <v>133.80000000000001</v>
      </c>
      <c r="AB159" s="5">
        <v>122</v>
      </c>
      <c r="AC159" s="5">
        <v>122.6</v>
      </c>
      <c r="AD159" s="5">
        <v>129.30000000000001</v>
      </c>
    </row>
    <row r="160" spans="1:30" x14ac:dyDescent="0.3">
      <c r="A160" t="s">
        <v>34</v>
      </c>
      <c r="B160" s="3">
        <v>2017</v>
      </c>
      <c r="C160" t="s">
        <v>38</v>
      </c>
      <c r="D160" s="5">
        <v>132.9</v>
      </c>
      <c r="E160" s="5">
        <v>141.6</v>
      </c>
      <c r="F160" s="5">
        <v>126.3</v>
      </c>
      <c r="G160" s="5">
        <v>137.69999999999999</v>
      </c>
      <c r="H160" s="5">
        <v>118.1</v>
      </c>
      <c r="I160" s="5">
        <v>137.9</v>
      </c>
      <c r="J160" s="5">
        <v>125.6</v>
      </c>
      <c r="K160" s="5">
        <v>138.30000000000001</v>
      </c>
      <c r="L160" s="5">
        <v>119.4</v>
      </c>
      <c r="M160" s="5">
        <v>136</v>
      </c>
      <c r="N160" s="5">
        <v>127.6</v>
      </c>
      <c r="O160" s="5">
        <v>144.5</v>
      </c>
      <c r="P160" s="5">
        <v>133.69999999999999</v>
      </c>
      <c r="Q160" s="5">
        <v>146.19999999999999</v>
      </c>
      <c r="R160" s="5">
        <v>138.19999999999999</v>
      </c>
      <c r="S160" s="5">
        <v>131.4</v>
      </c>
      <c r="T160" s="5">
        <v>137.19999999999999</v>
      </c>
      <c r="U160" s="5">
        <v>132.1</v>
      </c>
      <c r="V160" s="5">
        <v>129.4</v>
      </c>
      <c r="W160" s="5">
        <v>130.9</v>
      </c>
      <c r="X160" s="5">
        <v>128.4</v>
      </c>
      <c r="Y160" s="5">
        <v>116.7</v>
      </c>
      <c r="Z160" s="5">
        <v>125.7</v>
      </c>
      <c r="AA160" s="5">
        <v>134.80000000000001</v>
      </c>
      <c r="AB160" s="5">
        <v>123</v>
      </c>
      <c r="AC160" s="5">
        <v>125.3</v>
      </c>
      <c r="AD160" s="5">
        <v>131.4</v>
      </c>
    </row>
    <row r="161" spans="1:30" x14ac:dyDescent="0.3">
      <c r="A161" t="s">
        <v>30</v>
      </c>
      <c r="B161" s="3">
        <v>2017</v>
      </c>
      <c r="C161" t="s">
        <v>39</v>
      </c>
      <c r="D161" s="5">
        <v>133.5</v>
      </c>
      <c r="E161" s="5">
        <v>143.69999999999999</v>
      </c>
      <c r="F161" s="5">
        <v>128</v>
      </c>
      <c r="G161" s="5">
        <v>138.6</v>
      </c>
      <c r="H161" s="5">
        <v>120.9</v>
      </c>
      <c r="I161" s="5">
        <v>140.9</v>
      </c>
      <c r="J161" s="5">
        <v>128.80000000000001</v>
      </c>
      <c r="K161" s="5">
        <v>140.19999999999999</v>
      </c>
      <c r="L161" s="5">
        <v>118.9</v>
      </c>
      <c r="M161" s="5">
        <v>133.5</v>
      </c>
      <c r="N161" s="5">
        <v>130.4</v>
      </c>
      <c r="O161" s="5">
        <v>146.5</v>
      </c>
      <c r="P161" s="5">
        <v>134.9</v>
      </c>
      <c r="Q161" s="5">
        <v>145.80000000000001</v>
      </c>
      <c r="R161" s="5">
        <v>143.1</v>
      </c>
      <c r="S161" s="5">
        <v>137.69999999999999</v>
      </c>
      <c r="T161" s="5">
        <v>142.30000000000001</v>
      </c>
      <c r="U161" s="5" t="s">
        <v>32</v>
      </c>
      <c r="V161" s="5">
        <v>134.80000000000001</v>
      </c>
      <c r="W161" s="5">
        <v>135.19999999999999</v>
      </c>
      <c r="X161" s="5">
        <v>131.30000000000001</v>
      </c>
      <c r="Y161" s="5">
        <v>119.4</v>
      </c>
      <c r="Z161" s="5">
        <v>129.80000000000001</v>
      </c>
      <c r="AA161" s="5">
        <v>136.9</v>
      </c>
      <c r="AB161" s="5">
        <v>124.1</v>
      </c>
      <c r="AC161" s="5">
        <v>128.1</v>
      </c>
      <c r="AD161" s="5">
        <v>133.9</v>
      </c>
    </row>
    <row r="162" spans="1:30" x14ac:dyDescent="0.3">
      <c r="A162" t="s">
        <v>33</v>
      </c>
      <c r="B162" s="3">
        <v>2017</v>
      </c>
      <c r="C162" t="s">
        <v>39</v>
      </c>
      <c r="D162" s="5">
        <v>132.9</v>
      </c>
      <c r="E162" s="5">
        <v>148.69999999999999</v>
      </c>
      <c r="F162" s="5">
        <v>128.30000000000001</v>
      </c>
      <c r="G162" s="5">
        <v>137.30000000000001</v>
      </c>
      <c r="H162" s="5">
        <v>113.5</v>
      </c>
      <c r="I162" s="5">
        <v>137.19999999999999</v>
      </c>
      <c r="J162" s="5">
        <v>142.19999999999999</v>
      </c>
      <c r="K162" s="5">
        <v>128.19999999999999</v>
      </c>
      <c r="L162" s="5">
        <v>120.9</v>
      </c>
      <c r="M162" s="5">
        <v>138.80000000000001</v>
      </c>
      <c r="N162" s="5">
        <v>124.2</v>
      </c>
      <c r="O162" s="5">
        <v>143.1</v>
      </c>
      <c r="P162" s="5">
        <v>135.69999999999999</v>
      </c>
      <c r="Q162" s="5">
        <v>148.6</v>
      </c>
      <c r="R162" s="5">
        <v>131.5</v>
      </c>
      <c r="S162" s="5">
        <v>123.2</v>
      </c>
      <c r="T162" s="5">
        <v>130.19999999999999</v>
      </c>
      <c r="U162" s="5">
        <v>131.4</v>
      </c>
      <c r="V162" s="5">
        <v>119</v>
      </c>
      <c r="W162" s="5">
        <v>126.8</v>
      </c>
      <c r="X162" s="5">
        <v>123.8</v>
      </c>
      <c r="Y162" s="5">
        <v>113.9</v>
      </c>
      <c r="Z162" s="5">
        <v>122.9</v>
      </c>
      <c r="AA162" s="5">
        <v>134.30000000000001</v>
      </c>
      <c r="AB162" s="5">
        <v>122.5</v>
      </c>
      <c r="AC162" s="5">
        <v>122.7</v>
      </c>
      <c r="AD162" s="5">
        <v>129.9</v>
      </c>
    </row>
    <row r="163" spans="1:30" x14ac:dyDescent="0.3">
      <c r="A163" t="s">
        <v>34</v>
      </c>
      <c r="B163" s="3">
        <v>2017</v>
      </c>
      <c r="C163" t="s">
        <v>39</v>
      </c>
      <c r="D163" s="5">
        <v>133.30000000000001</v>
      </c>
      <c r="E163" s="5">
        <v>145.5</v>
      </c>
      <c r="F163" s="5">
        <v>128.1</v>
      </c>
      <c r="G163" s="5">
        <v>138.1</v>
      </c>
      <c r="H163" s="5">
        <v>118.2</v>
      </c>
      <c r="I163" s="5">
        <v>139.19999999999999</v>
      </c>
      <c r="J163" s="5">
        <v>133.30000000000001</v>
      </c>
      <c r="K163" s="5">
        <v>136.19999999999999</v>
      </c>
      <c r="L163" s="5">
        <v>119.6</v>
      </c>
      <c r="M163" s="5">
        <v>135.30000000000001</v>
      </c>
      <c r="N163" s="5">
        <v>127.8</v>
      </c>
      <c r="O163" s="5">
        <v>144.9</v>
      </c>
      <c r="P163" s="5">
        <v>135.19999999999999</v>
      </c>
      <c r="Q163" s="5">
        <v>146.5</v>
      </c>
      <c r="R163" s="5">
        <v>138.5</v>
      </c>
      <c r="S163" s="5">
        <v>131.69999999999999</v>
      </c>
      <c r="T163" s="5">
        <v>137.5</v>
      </c>
      <c r="U163" s="5">
        <v>131.4</v>
      </c>
      <c r="V163" s="5">
        <v>128.80000000000001</v>
      </c>
      <c r="W163" s="5">
        <v>131.19999999999999</v>
      </c>
      <c r="X163" s="5">
        <v>128.5</v>
      </c>
      <c r="Y163" s="5">
        <v>116.5</v>
      </c>
      <c r="Z163" s="5">
        <v>125.9</v>
      </c>
      <c r="AA163" s="5">
        <v>135.4</v>
      </c>
      <c r="AB163" s="5">
        <v>123.4</v>
      </c>
      <c r="AC163" s="5">
        <v>125.5</v>
      </c>
      <c r="AD163" s="5">
        <v>132</v>
      </c>
    </row>
    <row r="164" spans="1:30" x14ac:dyDescent="0.3">
      <c r="A164" t="s">
        <v>30</v>
      </c>
      <c r="B164" s="3">
        <v>2017</v>
      </c>
      <c r="C164" t="s">
        <v>40</v>
      </c>
      <c r="D164" s="5">
        <v>134</v>
      </c>
      <c r="E164" s="5">
        <v>144.19999999999999</v>
      </c>
      <c r="F164" s="5">
        <v>129.80000000000001</v>
      </c>
      <c r="G164" s="5">
        <v>139</v>
      </c>
      <c r="H164" s="5">
        <v>120.9</v>
      </c>
      <c r="I164" s="5">
        <v>143.9</v>
      </c>
      <c r="J164" s="5">
        <v>151.5</v>
      </c>
      <c r="K164" s="5">
        <v>138.1</v>
      </c>
      <c r="L164" s="5">
        <v>120</v>
      </c>
      <c r="M164" s="5">
        <v>133.9</v>
      </c>
      <c r="N164" s="5">
        <v>131.4</v>
      </c>
      <c r="O164" s="5">
        <v>147.69999999999999</v>
      </c>
      <c r="P164" s="5">
        <v>138.5</v>
      </c>
      <c r="Q164" s="5">
        <v>147.4</v>
      </c>
      <c r="R164" s="5">
        <v>144.30000000000001</v>
      </c>
      <c r="S164" s="5">
        <v>138.1</v>
      </c>
      <c r="T164" s="5">
        <v>143.5</v>
      </c>
      <c r="U164" s="5" t="s">
        <v>32</v>
      </c>
      <c r="V164" s="5">
        <v>135.30000000000001</v>
      </c>
      <c r="W164" s="5">
        <v>136.1</v>
      </c>
      <c r="X164" s="5">
        <v>132.1</v>
      </c>
      <c r="Y164" s="5">
        <v>119.1</v>
      </c>
      <c r="Z164" s="5">
        <v>130.6</v>
      </c>
      <c r="AA164" s="5">
        <v>138.6</v>
      </c>
      <c r="AB164" s="5">
        <v>124.4</v>
      </c>
      <c r="AC164" s="5">
        <v>128.6</v>
      </c>
      <c r="AD164" s="5">
        <v>136.19999999999999</v>
      </c>
    </row>
    <row r="165" spans="1:30" x14ac:dyDescent="0.3">
      <c r="A165" t="s">
        <v>33</v>
      </c>
      <c r="B165" s="3">
        <v>2017</v>
      </c>
      <c r="C165" t="s">
        <v>40</v>
      </c>
      <c r="D165" s="5">
        <v>132.80000000000001</v>
      </c>
      <c r="E165" s="5">
        <v>148.4</v>
      </c>
      <c r="F165" s="5">
        <v>129.4</v>
      </c>
      <c r="G165" s="5">
        <v>137.69999999999999</v>
      </c>
      <c r="H165" s="5">
        <v>113.4</v>
      </c>
      <c r="I165" s="5">
        <v>139.4</v>
      </c>
      <c r="J165" s="5">
        <v>175.1</v>
      </c>
      <c r="K165" s="5">
        <v>124.7</v>
      </c>
      <c r="L165" s="5">
        <v>121.5</v>
      </c>
      <c r="M165" s="5">
        <v>137.80000000000001</v>
      </c>
      <c r="N165" s="5">
        <v>124.4</v>
      </c>
      <c r="O165" s="5">
        <v>143.69999999999999</v>
      </c>
      <c r="P165" s="5">
        <v>139.80000000000001</v>
      </c>
      <c r="Q165" s="5">
        <v>150.5</v>
      </c>
      <c r="R165" s="5">
        <v>131.6</v>
      </c>
      <c r="S165" s="5">
        <v>123.7</v>
      </c>
      <c r="T165" s="5">
        <v>130.4</v>
      </c>
      <c r="U165" s="5">
        <v>132.6</v>
      </c>
      <c r="V165" s="5">
        <v>119.7</v>
      </c>
      <c r="W165" s="5">
        <v>127.2</v>
      </c>
      <c r="X165" s="5">
        <v>125</v>
      </c>
      <c r="Y165" s="5">
        <v>113.2</v>
      </c>
      <c r="Z165" s="5">
        <v>123.5</v>
      </c>
      <c r="AA165" s="5">
        <v>135.5</v>
      </c>
      <c r="AB165" s="5">
        <v>122.4</v>
      </c>
      <c r="AC165" s="5">
        <v>123</v>
      </c>
      <c r="AD165" s="5">
        <v>131.80000000000001</v>
      </c>
    </row>
    <row r="166" spans="1:30" x14ac:dyDescent="0.3">
      <c r="A166" t="s">
        <v>34</v>
      </c>
      <c r="B166" s="3">
        <v>2017</v>
      </c>
      <c r="C166" t="s">
        <v>40</v>
      </c>
      <c r="D166" s="5">
        <v>133.6</v>
      </c>
      <c r="E166" s="5">
        <v>145.69999999999999</v>
      </c>
      <c r="F166" s="5">
        <v>129.6</v>
      </c>
      <c r="G166" s="5">
        <v>138.5</v>
      </c>
      <c r="H166" s="5">
        <v>118.1</v>
      </c>
      <c r="I166" s="5">
        <v>141.80000000000001</v>
      </c>
      <c r="J166" s="5">
        <v>159.5</v>
      </c>
      <c r="K166" s="5">
        <v>133.6</v>
      </c>
      <c r="L166" s="5">
        <v>120.5</v>
      </c>
      <c r="M166" s="5">
        <v>135.19999999999999</v>
      </c>
      <c r="N166" s="5">
        <v>128.5</v>
      </c>
      <c r="O166" s="5">
        <v>145.80000000000001</v>
      </c>
      <c r="P166" s="5">
        <v>139</v>
      </c>
      <c r="Q166" s="5">
        <v>148.19999999999999</v>
      </c>
      <c r="R166" s="5">
        <v>139.30000000000001</v>
      </c>
      <c r="S166" s="5">
        <v>132.1</v>
      </c>
      <c r="T166" s="5">
        <v>138.30000000000001</v>
      </c>
      <c r="U166" s="5">
        <v>132.6</v>
      </c>
      <c r="V166" s="5">
        <v>129.4</v>
      </c>
      <c r="W166" s="5">
        <v>131.9</v>
      </c>
      <c r="X166" s="5">
        <v>129.4</v>
      </c>
      <c r="Y166" s="5">
        <v>116</v>
      </c>
      <c r="Z166" s="5">
        <v>126.6</v>
      </c>
      <c r="AA166" s="5">
        <v>136.80000000000001</v>
      </c>
      <c r="AB166" s="5">
        <v>123.6</v>
      </c>
      <c r="AC166" s="5">
        <v>125.9</v>
      </c>
      <c r="AD166" s="5">
        <v>134.19999999999999</v>
      </c>
    </row>
    <row r="167" spans="1:30" x14ac:dyDescent="0.3">
      <c r="A167" t="s">
        <v>30</v>
      </c>
      <c r="B167" s="3">
        <v>2017</v>
      </c>
      <c r="C167" t="s">
        <v>41</v>
      </c>
      <c r="D167" s="5">
        <v>134.80000000000001</v>
      </c>
      <c r="E167" s="5">
        <v>143.1</v>
      </c>
      <c r="F167" s="5">
        <v>130</v>
      </c>
      <c r="G167" s="5">
        <v>139.4</v>
      </c>
      <c r="H167" s="5">
        <v>120.5</v>
      </c>
      <c r="I167" s="5">
        <v>148</v>
      </c>
      <c r="J167" s="5">
        <v>162.9</v>
      </c>
      <c r="K167" s="5">
        <v>137.4</v>
      </c>
      <c r="L167" s="5">
        <v>120.8</v>
      </c>
      <c r="M167" s="5">
        <v>134.69999999999999</v>
      </c>
      <c r="N167" s="5">
        <v>131.6</v>
      </c>
      <c r="O167" s="5">
        <v>148.69999999999999</v>
      </c>
      <c r="P167" s="5">
        <v>140.6</v>
      </c>
      <c r="Q167" s="5">
        <v>149</v>
      </c>
      <c r="R167" s="5">
        <v>145.30000000000001</v>
      </c>
      <c r="S167" s="5">
        <v>139.19999999999999</v>
      </c>
      <c r="T167" s="5">
        <v>144.5</v>
      </c>
      <c r="U167" s="5" t="s">
        <v>32</v>
      </c>
      <c r="V167" s="5">
        <v>136.4</v>
      </c>
      <c r="W167" s="5">
        <v>137.30000000000001</v>
      </c>
      <c r="X167" s="5">
        <v>133</v>
      </c>
      <c r="Y167" s="5">
        <v>120.3</v>
      </c>
      <c r="Z167" s="5">
        <v>131.5</v>
      </c>
      <c r="AA167" s="5">
        <v>140.19999999999999</v>
      </c>
      <c r="AB167" s="5">
        <v>125.4</v>
      </c>
      <c r="AC167" s="5">
        <v>129.69999999999999</v>
      </c>
      <c r="AD167" s="5">
        <v>137.80000000000001</v>
      </c>
    </row>
    <row r="168" spans="1:30" x14ac:dyDescent="0.3">
      <c r="A168" t="s">
        <v>33</v>
      </c>
      <c r="B168" s="3">
        <v>2017</v>
      </c>
      <c r="C168" t="s">
        <v>41</v>
      </c>
      <c r="D168" s="5">
        <v>133.19999999999999</v>
      </c>
      <c r="E168" s="5">
        <v>143.9</v>
      </c>
      <c r="F168" s="5">
        <v>128.30000000000001</v>
      </c>
      <c r="G168" s="5">
        <v>138.30000000000001</v>
      </c>
      <c r="H168" s="5">
        <v>114.1</v>
      </c>
      <c r="I168" s="5">
        <v>142.69999999999999</v>
      </c>
      <c r="J168" s="5">
        <v>179.8</v>
      </c>
      <c r="K168" s="5">
        <v>123.5</v>
      </c>
      <c r="L168" s="5">
        <v>122.1</v>
      </c>
      <c r="M168" s="5">
        <v>137.5</v>
      </c>
      <c r="N168" s="5">
        <v>124.6</v>
      </c>
      <c r="O168" s="5">
        <v>144.5</v>
      </c>
      <c r="P168" s="5">
        <v>140.5</v>
      </c>
      <c r="Q168" s="5">
        <v>152.1</v>
      </c>
      <c r="R168" s="5">
        <v>132.69999999999999</v>
      </c>
      <c r="S168" s="5">
        <v>124.3</v>
      </c>
      <c r="T168" s="5">
        <v>131.4</v>
      </c>
      <c r="U168" s="5">
        <v>134.4</v>
      </c>
      <c r="V168" s="5">
        <v>118.9</v>
      </c>
      <c r="W168" s="5">
        <v>127.7</v>
      </c>
      <c r="X168" s="5">
        <v>125.7</v>
      </c>
      <c r="Y168" s="5">
        <v>114.6</v>
      </c>
      <c r="Z168" s="5">
        <v>124.1</v>
      </c>
      <c r="AA168" s="5">
        <v>135.69999999999999</v>
      </c>
      <c r="AB168" s="5">
        <v>123.3</v>
      </c>
      <c r="AC168" s="5">
        <v>123.8</v>
      </c>
      <c r="AD168" s="5">
        <v>132.69999999999999</v>
      </c>
    </row>
    <row r="169" spans="1:30" x14ac:dyDescent="0.3">
      <c r="A169" t="s">
        <v>34</v>
      </c>
      <c r="B169" s="3">
        <v>2017</v>
      </c>
      <c r="C169" t="s">
        <v>41</v>
      </c>
      <c r="D169" s="5">
        <v>134.30000000000001</v>
      </c>
      <c r="E169" s="5">
        <v>143.4</v>
      </c>
      <c r="F169" s="5">
        <v>129.30000000000001</v>
      </c>
      <c r="G169" s="5">
        <v>139</v>
      </c>
      <c r="H169" s="5">
        <v>118.1</v>
      </c>
      <c r="I169" s="5">
        <v>145.5</v>
      </c>
      <c r="J169" s="5">
        <v>168.6</v>
      </c>
      <c r="K169" s="5">
        <v>132.69999999999999</v>
      </c>
      <c r="L169" s="5">
        <v>121.2</v>
      </c>
      <c r="M169" s="5">
        <v>135.6</v>
      </c>
      <c r="N169" s="5">
        <v>128.69999999999999</v>
      </c>
      <c r="O169" s="5">
        <v>146.80000000000001</v>
      </c>
      <c r="P169" s="5">
        <v>140.6</v>
      </c>
      <c r="Q169" s="5">
        <v>149.80000000000001</v>
      </c>
      <c r="R169" s="5">
        <v>140.30000000000001</v>
      </c>
      <c r="S169" s="5">
        <v>133</v>
      </c>
      <c r="T169" s="5">
        <v>139.30000000000001</v>
      </c>
      <c r="U169" s="5">
        <v>134.4</v>
      </c>
      <c r="V169" s="5">
        <v>129.80000000000001</v>
      </c>
      <c r="W169" s="5">
        <v>132.80000000000001</v>
      </c>
      <c r="X169" s="5">
        <v>130.19999999999999</v>
      </c>
      <c r="Y169" s="5">
        <v>117.3</v>
      </c>
      <c r="Z169" s="5">
        <v>127.3</v>
      </c>
      <c r="AA169" s="5">
        <v>137.6</v>
      </c>
      <c r="AB169" s="5">
        <v>124.5</v>
      </c>
      <c r="AC169" s="5">
        <v>126.8</v>
      </c>
      <c r="AD169" s="5">
        <v>135.4</v>
      </c>
    </row>
    <row r="170" spans="1:30" x14ac:dyDescent="0.3">
      <c r="A170" t="s">
        <v>30</v>
      </c>
      <c r="B170" s="3">
        <v>2017</v>
      </c>
      <c r="C170" t="s">
        <v>42</v>
      </c>
      <c r="D170" s="5">
        <v>135.19999999999999</v>
      </c>
      <c r="E170" s="5">
        <v>142</v>
      </c>
      <c r="F170" s="5">
        <v>130.5</v>
      </c>
      <c r="G170" s="5">
        <v>140.19999999999999</v>
      </c>
      <c r="H170" s="5">
        <v>120.7</v>
      </c>
      <c r="I170" s="5">
        <v>147.80000000000001</v>
      </c>
      <c r="J170" s="5">
        <v>154.5</v>
      </c>
      <c r="K170" s="5">
        <v>137.1</v>
      </c>
      <c r="L170" s="5">
        <v>121</v>
      </c>
      <c r="M170" s="5">
        <v>134.69999999999999</v>
      </c>
      <c r="N170" s="5">
        <v>131.69999999999999</v>
      </c>
      <c r="O170" s="5">
        <v>149.30000000000001</v>
      </c>
      <c r="P170" s="5">
        <v>139.6</v>
      </c>
      <c r="Q170" s="5">
        <v>149.80000000000001</v>
      </c>
      <c r="R170" s="5">
        <v>146.1</v>
      </c>
      <c r="S170" s="5">
        <v>139.69999999999999</v>
      </c>
      <c r="T170" s="5">
        <v>145.19999999999999</v>
      </c>
      <c r="U170" s="5" t="s">
        <v>32</v>
      </c>
      <c r="V170" s="5">
        <v>137.4</v>
      </c>
      <c r="W170" s="5">
        <v>137.9</v>
      </c>
      <c r="X170" s="5">
        <v>133.4</v>
      </c>
      <c r="Y170" s="5">
        <v>121.2</v>
      </c>
      <c r="Z170" s="5">
        <v>132.30000000000001</v>
      </c>
      <c r="AA170" s="5">
        <v>139.6</v>
      </c>
      <c r="AB170" s="5">
        <v>126.7</v>
      </c>
      <c r="AC170" s="5">
        <v>130.30000000000001</v>
      </c>
      <c r="AD170" s="5">
        <v>137.6</v>
      </c>
    </row>
    <row r="171" spans="1:30" x14ac:dyDescent="0.3">
      <c r="A171" t="s">
        <v>33</v>
      </c>
      <c r="B171" s="3">
        <v>2017</v>
      </c>
      <c r="C171" t="s">
        <v>42</v>
      </c>
      <c r="D171" s="5">
        <v>133.6</v>
      </c>
      <c r="E171" s="5">
        <v>143</v>
      </c>
      <c r="F171" s="5">
        <v>129.69999999999999</v>
      </c>
      <c r="G171" s="5">
        <v>138.69999999999999</v>
      </c>
      <c r="H171" s="5">
        <v>114.5</v>
      </c>
      <c r="I171" s="5">
        <v>137.5</v>
      </c>
      <c r="J171" s="5">
        <v>160.69999999999999</v>
      </c>
      <c r="K171" s="5">
        <v>124.5</v>
      </c>
      <c r="L171" s="5">
        <v>122.4</v>
      </c>
      <c r="M171" s="5">
        <v>137.30000000000001</v>
      </c>
      <c r="N171" s="5">
        <v>124.8</v>
      </c>
      <c r="O171" s="5">
        <v>145</v>
      </c>
      <c r="P171" s="5">
        <v>138</v>
      </c>
      <c r="Q171" s="5">
        <v>153.6</v>
      </c>
      <c r="R171" s="5">
        <v>133.30000000000001</v>
      </c>
      <c r="S171" s="5">
        <v>124.6</v>
      </c>
      <c r="T171" s="5">
        <v>132</v>
      </c>
      <c r="U171" s="5">
        <v>135.69999999999999</v>
      </c>
      <c r="V171" s="5">
        <v>120.6</v>
      </c>
      <c r="W171" s="5">
        <v>128.1</v>
      </c>
      <c r="X171" s="5">
        <v>126.1</v>
      </c>
      <c r="Y171" s="5">
        <v>115.7</v>
      </c>
      <c r="Z171" s="5">
        <v>124.5</v>
      </c>
      <c r="AA171" s="5">
        <v>135.9</v>
      </c>
      <c r="AB171" s="5">
        <v>124.4</v>
      </c>
      <c r="AC171" s="5">
        <v>124.5</v>
      </c>
      <c r="AD171" s="5">
        <v>132.4</v>
      </c>
    </row>
    <row r="172" spans="1:30" x14ac:dyDescent="0.3">
      <c r="A172" t="s">
        <v>34</v>
      </c>
      <c r="B172" s="3">
        <v>2017</v>
      </c>
      <c r="C172" t="s">
        <v>42</v>
      </c>
      <c r="D172" s="5">
        <v>134.69999999999999</v>
      </c>
      <c r="E172" s="5">
        <v>142.4</v>
      </c>
      <c r="F172" s="5">
        <v>130.19999999999999</v>
      </c>
      <c r="G172" s="5">
        <v>139.6</v>
      </c>
      <c r="H172" s="5">
        <v>118.4</v>
      </c>
      <c r="I172" s="5">
        <v>143</v>
      </c>
      <c r="J172" s="5">
        <v>156.6</v>
      </c>
      <c r="K172" s="5">
        <v>132.9</v>
      </c>
      <c r="L172" s="5">
        <v>121.5</v>
      </c>
      <c r="M172" s="5">
        <v>135.6</v>
      </c>
      <c r="N172" s="5">
        <v>128.80000000000001</v>
      </c>
      <c r="O172" s="5">
        <v>147.30000000000001</v>
      </c>
      <c r="P172" s="5">
        <v>139</v>
      </c>
      <c r="Q172" s="5">
        <v>150.80000000000001</v>
      </c>
      <c r="R172" s="5">
        <v>141.1</v>
      </c>
      <c r="S172" s="5">
        <v>133.4</v>
      </c>
      <c r="T172" s="5">
        <v>140</v>
      </c>
      <c r="U172" s="5">
        <v>135.69999999999999</v>
      </c>
      <c r="V172" s="5">
        <v>131</v>
      </c>
      <c r="W172" s="5">
        <v>133.30000000000001</v>
      </c>
      <c r="X172" s="5">
        <v>130.6</v>
      </c>
      <c r="Y172" s="5">
        <v>118.3</v>
      </c>
      <c r="Z172" s="5">
        <v>127.9</v>
      </c>
      <c r="AA172" s="5">
        <v>137.4</v>
      </c>
      <c r="AB172" s="5">
        <v>125.7</v>
      </c>
      <c r="AC172" s="5">
        <v>127.5</v>
      </c>
      <c r="AD172" s="5">
        <v>135.19999999999999</v>
      </c>
    </row>
    <row r="173" spans="1:30" x14ac:dyDescent="0.3">
      <c r="A173" t="s">
        <v>30</v>
      </c>
      <c r="B173" s="3">
        <v>2017</v>
      </c>
      <c r="C173" t="s">
        <v>43</v>
      </c>
      <c r="D173" s="5">
        <v>135.9</v>
      </c>
      <c r="E173" s="5">
        <v>141.9</v>
      </c>
      <c r="F173" s="5">
        <v>131</v>
      </c>
      <c r="G173" s="5">
        <v>141.5</v>
      </c>
      <c r="H173" s="5">
        <v>121.4</v>
      </c>
      <c r="I173" s="5">
        <v>146.69999999999999</v>
      </c>
      <c r="J173" s="5">
        <v>157.1</v>
      </c>
      <c r="K173" s="5">
        <v>136.4</v>
      </c>
      <c r="L173" s="5">
        <v>121.4</v>
      </c>
      <c r="M173" s="5">
        <v>135.6</v>
      </c>
      <c r="N173" s="5">
        <v>131.30000000000001</v>
      </c>
      <c r="O173" s="5">
        <v>150.30000000000001</v>
      </c>
      <c r="P173" s="5">
        <v>140.4</v>
      </c>
      <c r="Q173" s="5">
        <v>150.5</v>
      </c>
      <c r="R173" s="5">
        <v>147.19999999999999</v>
      </c>
      <c r="S173" s="5">
        <v>140.6</v>
      </c>
      <c r="T173" s="5">
        <v>146.19999999999999</v>
      </c>
      <c r="U173" s="5" t="s">
        <v>32</v>
      </c>
      <c r="V173" s="5">
        <v>138.1</v>
      </c>
      <c r="W173" s="5">
        <v>138.4</v>
      </c>
      <c r="X173" s="5">
        <v>134.19999999999999</v>
      </c>
      <c r="Y173" s="5">
        <v>121</v>
      </c>
      <c r="Z173" s="5">
        <v>133</v>
      </c>
      <c r="AA173" s="5">
        <v>140.1</v>
      </c>
      <c r="AB173" s="5">
        <v>127.4</v>
      </c>
      <c r="AC173" s="5">
        <v>130.69999999999999</v>
      </c>
      <c r="AD173" s="5">
        <v>138.30000000000001</v>
      </c>
    </row>
    <row r="174" spans="1:30" x14ac:dyDescent="0.3">
      <c r="A174" t="s">
        <v>33</v>
      </c>
      <c r="B174" s="3">
        <v>2017</v>
      </c>
      <c r="C174" t="s">
        <v>43</v>
      </c>
      <c r="D174" s="5">
        <v>133.9</v>
      </c>
      <c r="E174" s="5">
        <v>142.80000000000001</v>
      </c>
      <c r="F174" s="5">
        <v>131.4</v>
      </c>
      <c r="G174" s="5">
        <v>139.1</v>
      </c>
      <c r="H174" s="5">
        <v>114.9</v>
      </c>
      <c r="I174" s="5">
        <v>135.6</v>
      </c>
      <c r="J174" s="5">
        <v>173.2</v>
      </c>
      <c r="K174" s="5">
        <v>124.1</v>
      </c>
      <c r="L174" s="5">
        <v>122.6</v>
      </c>
      <c r="M174" s="5">
        <v>137.80000000000001</v>
      </c>
      <c r="N174" s="5">
        <v>125.1</v>
      </c>
      <c r="O174" s="5">
        <v>145.5</v>
      </c>
      <c r="P174" s="5">
        <v>139.69999999999999</v>
      </c>
      <c r="Q174" s="5">
        <v>154.6</v>
      </c>
      <c r="R174" s="5">
        <v>134</v>
      </c>
      <c r="S174" s="5">
        <v>124.9</v>
      </c>
      <c r="T174" s="5">
        <v>132.6</v>
      </c>
      <c r="U174" s="5">
        <v>137.30000000000001</v>
      </c>
      <c r="V174" s="5">
        <v>122.6</v>
      </c>
      <c r="W174" s="5">
        <v>128.30000000000001</v>
      </c>
      <c r="X174" s="5">
        <v>126.6</v>
      </c>
      <c r="Y174" s="5">
        <v>115</v>
      </c>
      <c r="Z174" s="5">
        <v>124.8</v>
      </c>
      <c r="AA174" s="5">
        <v>136.30000000000001</v>
      </c>
      <c r="AB174" s="5">
        <v>124.6</v>
      </c>
      <c r="AC174" s="5">
        <v>124.5</v>
      </c>
      <c r="AD174" s="5">
        <v>133.5</v>
      </c>
    </row>
    <row r="175" spans="1:30" x14ac:dyDescent="0.3">
      <c r="A175" t="s">
        <v>34</v>
      </c>
      <c r="B175" s="3">
        <v>2017</v>
      </c>
      <c r="C175" t="s">
        <v>43</v>
      </c>
      <c r="D175" s="5">
        <v>135.30000000000001</v>
      </c>
      <c r="E175" s="5">
        <v>142.19999999999999</v>
      </c>
      <c r="F175" s="5">
        <v>131.19999999999999</v>
      </c>
      <c r="G175" s="5">
        <v>140.6</v>
      </c>
      <c r="H175" s="5">
        <v>119</v>
      </c>
      <c r="I175" s="5">
        <v>141.5</v>
      </c>
      <c r="J175" s="5">
        <v>162.6</v>
      </c>
      <c r="K175" s="5">
        <v>132.30000000000001</v>
      </c>
      <c r="L175" s="5">
        <v>121.8</v>
      </c>
      <c r="M175" s="5">
        <v>136.30000000000001</v>
      </c>
      <c r="N175" s="5">
        <v>128.69999999999999</v>
      </c>
      <c r="O175" s="5">
        <v>148.1</v>
      </c>
      <c r="P175" s="5">
        <v>140.1</v>
      </c>
      <c r="Q175" s="5">
        <v>151.6</v>
      </c>
      <c r="R175" s="5">
        <v>142</v>
      </c>
      <c r="S175" s="5">
        <v>134.1</v>
      </c>
      <c r="T175" s="5">
        <v>140.80000000000001</v>
      </c>
      <c r="U175" s="5">
        <v>137.30000000000001</v>
      </c>
      <c r="V175" s="5">
        <v>132.19999999999999</v>
      </c>
      <c r="W175" s="5">
        <v>133.6</v>
      </c>
      <c r="X175" s="5">
        <v>131.30000000000001</v>
      </c>
      <c r="Y175" s="5">
        <v>117.8</v>
      </c>
      <c r="Z175" s="5">
        <v>128.4</v>
      </c>
      <c r="AA175" s="5">
        <v>137.9</v>
      </c>
      <c r="AB175" s="5">
        <v>126.2</v>
      </c>
      <c r="AC175" s="5">
        <v>127.7</v>
      </c>
      <c r="AD175" s="5">
        <v>136.1</v>
      </c>
    </row>
    <row r="176" spans="1:30" x14ac:dyDescent="0.3">
      <c r="A176" t="s">
        <v>30</v>
      </c>
      <c r="B176" s="3">
        <v>2017</v>
      </c>
      <c r="C176" t="s">
        <v>45</v>
      </c>
      <c r="D176" s="5">
        <v>136.30000000000001</v>
      </c>
      <c r="E176" s="5">
        <v>142.5</v>
      </c>
      <c r="F176" s="5">
        <v>140.5</v>
      </c>
      <c r="G176" s="5">
        <v>141.5</v>
      </c>
      <c r="H176" s="5">
        <v>121.6</v>
      </c>
      <c r="I176" s="5">
        <v>147.30000000000001</v>
      </c>
      <c r="J176" s="5">
        <v>168</v>
      </c>
      <c r="K176" s="5">
        <v>135.80000000000001</v>
      </c>
      <c r="L176" s="5">
        <v>122.5</v>
      </c>
      <c r="M176" s="5">
        <v>136</v>
      </c>
      <c r="N176" s="5">
        <v>131.9</v>
      </c>
      <c r="O176" s="5">
        <v>151.4</v>
      </c>
      <c r="P176" s="5">
        <v>142.4</v>
      </c>
      <c r="Q176" s="5">
        <v>152.1</v>
      </c>
      <c r="R176" s="5">
        <v>148.19999999999999</v>
      </c>
      <c r="S176" s="5">
        <v>141.5</v>
      </c>
      <c r="T176" s="5">
        <v>147.30000000000001</v>
      </c>
      <c r="U176" s="5" t="s">
        <v>32</v>
      </c>
      <c r="V176" s="5">
        <v>141.1</v>
      </c>
      <c r="W176" s="5">
        <v>139.4</v>
      </c>
      <c r="X176" s="5">
        <v>135.80000000000001</v>
      </c>
      <c r="Y176" s="5">
        <v>121.6</v>
      </c>
      <c r="Z176" s="5">
        <v>133.69999999999999</v>
      </c>
      <c r="AA176" s="5">
        <v>141.5</v>
      </c>
      <c r="AB176" s="5">
        <v>128.1</v>
      </c>
      <c r="AC176" s="5">
        <v>131.69999999999999</v>
      </c>
      <c r="AD176" s="5">
        <v>140</v>
      </c>
    </row>
    <row r="177" spans="1:30" x14ac:dyDescent="0.3">
      <c r="A177" t="s">
        <v>33</v>
      </c>
      <c r="B177" s="3">
        <v>2017</v>
      </c>
      <c r="C177" t="s">
        <v>45</v>
      </c>
      <c r="D177" s="5">
        <v>134.30000000000001</v>
      </c>
      <c r="E177" s="5">
        <v>142.1</v>
      </c>
      <c r="F177" s="5">
        <v>146.69999999999999</v>
      </c>
      <c r="G177" s="5">
        <v>139.5</v>
      </c>
      <c r="H177" s="5">
        <v>115.2</v>
      </c>
      <c r="I177" s="5">
        <v>136.4</v>
      </c>
      <c r="J177" s="5">
        <v>185.2</v>
      </c>
      <c r="K177" s="5">
        <v>122.2</v>
      </c>
      <c r="L177" s="5">
        <v>123.9</v>
      </c>
      <c r="M177" s="5">
        <v>138.30000000000001</v>
      </c>
      <c r="N177" s="5">
        <v>125.4</v>
      </c>
      <c r="O177" s="5">
        <v>146</v>
      </c>
      <c r="P177" s="5">
        <v>141.5</v>
      </c>
      <c r="Q177" s="5">
        <v>156.19999999999999</v>
      </c>
      <c r="R177" s="5">
        <v>135</v>
      </c>
      <c r="S177" s="5">
        <v>125.4</v>
      </c>
      <c r="T177" s="5">
        <v>133.5</v>
      </c>
      <c r="U177" s="5">
        <v>138.6</v>
      </c>
      <c r="V177" s="5">
        <v>125.7</v>
      </c>
      <c r="W177" s="5">
        <v>128.80000000000001</v>
      </c>
      <c r="X177" s="5">
        <v>127.4</v>
      </c>
      <c r="Y177" s="5">
        <v>115.3</v>
      </c>
      <c r="Z177" s="5">
        <v>125.1</v>
      </c>
      <c r="AA177" s="5">
        <v>136.6</v>
      </c>
      <c r="AB177" s="5">
        <v>124.9</v>
      </c>
      <c r="AC177" s="5">
        <v>124.9</v>
      </c>
      <c r="AD177" s="5">
        <v>134.80000000000001</v>
      </c>
    </row>
    <row r="178" spans="1:30" x14ac:dyDescent="0.3">
      <c r="A178" t="s">
        <v>34</v>
      </c>
      <c r="B178" s="3">
        <v>2017</v>
      </c>
      <c r="C178" t="s">
        <v>45</v>
      </c>
      <c r="D178" s="5">
        <v>135.69999999999999</v>
      </c>
      <c r="E178" s="5">
        <v>142.4</v>
      </c>
      <c r="F178" s="5">
        <v>142.9</v>
      </c>
      <c r="G178" s="5">
        <v>140.80000000000001</v>
      </c>
      <c r="H178" s="5">
        <v>119.2</v>
      </c>
      <c r="I178" s="5">
        <v>142.19999999999999</v>
      </c>
      <c r="J178" s="5">
        <v>173.8</v>
      </c>
      <c r="K178" s="5">
        <v>131.19999999999999</v>
      </c>
      <c r="L178" s="5">
        <v>123</v>
      </c>
      <c r="M178" s="5">
        <v>136.80000000000001</v>
      </c>
      <c r="N178" s="5">
        <v>129.19999999999999</v>
      </c>
      <c r="O178" s="5">
        <v>148.9</v>
      </c>
      <c r="P178" s="5">
        <v>142.1</v>
      </c>
      <c r="Q178" s="5">
        <v>153.19999999999999</v>
      </c>
      <c r="R178" s="5">
        <v>143</v>
      </c>
      <c r="S178" s="5">
        <v>134.80000000000001</v>
      </c>
      <c r="T178" s="5">
        <v>141.80000000000001</v>
      </c>
      <c r="U178" s="5">
        <v>138.6</v>
      </c>
      <c r="V178" s="5">
        <v>135.30000000000001</v>
      </c>
      <c r="W178" s="5">
        <v>134.4</v>
      </c>
      <c r="X178" s="5">
        <v>132.6</v>
      </c>
      <c r="Y178" s="5">
        <v>118.3</v>
      </c>
      <c r="Z178" s="5">
        <v>128.9</v>
      </c>
      <c r="AA178" s="5">
        <v>138.6</v>
      </c>
      <c r="AB178" s="5">
        <v>126.8</v>
      </c>
      <c r="AC178" s="5">
        <v>128.4</v>
      </c>
      <c r="AD178" s="5">
        <v>137.6</v>
      </c>
    </row>
    <row r="179" spans="1:30" x14ac:dyDescent="0.3">
      <c r="A179" t="s">
        <v>30</v>
      </c>
      <c r="B179" s="3">
        <v>2017</v>
      </c>
      <c r="C179" t="s">
        <v>46</v>
      </c>
      <c r="D179" s="5">
        <v>136.4</v>
      </c>
      <c r="E179" s="5">
        <v>143.69999999999999</v>
      </c>
      <c r="F179" s="5">
        <v>144.80000000000001</v>
      </c>
      <c r="G179" s="5">
        <v>141.9</v>
      </c>
      <c r="H179" s="5">
        <v>123.1</v>
      </c>
      <c r="I179" s="5">
        <v>147.19999999999999</v>
      </c>
      <c r="J179" s="5">
        <v>161</v>
      </c>
      <c r="K179" s="5">
        <v>133.80000000000001</v>
      </c>
      <c r="L179" s="5">
        <v>121.9</v>
      </c>
      <c r="M179" s="5">
        <v>135.80000000000001</v>
      </c>
      <c r="N179" s="5">
        <v>131.1</v>
      </c>
      <c r="O179" s="5">
        <v>151.4</v>
      </c>
      <c r="P179" s="5">
        <v>141.5</v>
      </c>
      <c r="Q179" s="5">
        <v>153.19999999999999</v>
      </c>
      <c r="R179" s="5">
        <v>148</v>
      </c>
      <c r="S179" s="5">
        <v>141.9</v>
      </c>
      <c r="T179" s="5">
        <v>147.19999999999999</v>
      </c>
      <c r="U179" s="5" t="s">
        <v>32</v>
      </c>
      <c r="V179" s="5">
        <v>142.6</v>
      </c>
      <c r="W179" s="5">
        <v>139.5</v>
      </c>
      <c r="X179" s="5">
        <v>136.1</v>
      </c>
      <c r="Y179" s="5">
        <v>122</v>
      </c>
      <c r="Z179" s="5">
        <v>133.4</v>
      </c>
      <c r="AA179" s="5">
        <v>141.1</v>
      </c>
      <c r="AB179" s="5">
        <v>127.8</v>
      </c>
      <c r="AC179" s="5">
        <v>131.9</v>
      </c>
      <c r="AD179" s="5">
        <v>139.80000000000001</v>
      </c>
    </row>
    <row r="180" spans="1:30" x14ac:dyDescent="0.3">
      <c r="A180" t="s">
        <v>33</v>
      </c>
      <c r="B180" s="3">
        <v>2017</v>
      </c>
      <c r="C180" t="s">
        <v>46</v>
      </c>
      <c r="D180" s="5">
        <v>134.4</v>
      </c>
      <c r="E180" s="5">
        <v>142.6</v>
      </c>
      <c r="F180" s="5">
        <v>145.9</v>
      </c>
      <c r="G180" s="5">
        <v>139.5</v>
      </c>
      <c r="H180" s="5">
        <v>115.9</v>
      </c>
      <c r="I180" s="5">
        <v>135</v>
      </c>
      <c r="J180" s="5">
        <v>163.19999999999999</v>
      </c>
      <c r="K180" s="5">
        <v>119.8</v>
      </c>
      <c r="L180" s="5">
        <v>120.7</v>
      </c>
      <c r="M180" s="5">
        <v>139.69999999999999</v>
      </c>
      <c r="N180" s="5">
        <v>125.7</v>
      </c>
      <c r="O180" s="5">
        <v>146.30000000000001</v>
      </c>
      <c r="P180" s="5">
        <v>138.80000000000001</v>
      </c>
      <c r="Q180" s="5">
        <v>157</v>
      </c>
      <c r="R180" s="5">
        <v>135.6</v>
      </c>
      <c r="S180" s="5">
        <v>125.6</v>
      </c>
      <c r="T180" s="5">
        <v>134</v>
      </c>
      <c r="U180" s="5">
        <v>139.1</v>
      </c>
      <c r="V180" s="5">
        <v>126.8</v>
      </c>
      <c r="W180" s="5">
        <v>129.30000000000001</v>
      </c>
      <c r="X180" s="5">
        <v>128.19999999999999</v>
      </c>
      <c r="Y180" s="5">
        <v>115.3</v>
      </c>
      <c r="Z180" s="5">
        <v>125.6</v>
      </c>
      <c r="AA180" s="5">
        <v>136.69999999999999</v>
      </c>
      <c r="AB180" s="5">
        <v>124.6</v>
      </c>
      <c r="AC180" s="5">
        <v>125.1</v>
      </c>
      <c r="AD180" s="5">
        <v>134.1</v>
      </c>
    </row>
    <row r="181" spans="1:30" x14ac:dyDescent="0.3">
      <c r="A181" t="s">
        <v>34</v>
      </c>
      <c r="B181" s="3">
        <v>2017</v>
      </c>
      <c r="C181" t="s">
        <v>46</v>
      </c>
      <c r="D181" s="5">
        <v>135.80000000000001</v>
      </c>
      <c r="E181" s="5">
        <v>143.30000000000001</v>
      </c>
      <c r="F181" s="5">
        <v>145.19999999999999</v>
      </c>
      <c r="G181" s="5">
        <v>141</v>
      </c>
      <c r="H181" s="5">
        <v>120.5</v>
      </c>
      <c r="I181" s="5">
        <v>141.5</v>
      </c>
      <c r="J181" s="5">
        <v>161.69999999999999</v>
      </c>
      <c r="K181" s="5">
        <v>129.1</v>
      </c>
      <c r="L181" s="5">
        <v>121.5</v>
      </c>
      <c r="M181" s="5">
        <v>137.1</v>
      </c>
      <c r="N181" s="5">
        <v>128.80000000000001</v>
      </c>
      <c r="O181" s="5">
        <v>149</v>
      </c>
      <c r="P181" s="5">
        <v>140.5</v>
      </c>
      <c r="Q181" s="5">
        <v>154.19999999999999</v>
      </c>
      <c r="R181" s="5">
        <v>143.1</v>
      </c>
      <c r="S181" s="5">
        <v>135.1</v>
      </c>
      <c r="T181" s="5">
        <v>142</v>
      </c>
      <c r="U181" s="5">
        <v>139.1</v>
      </c>
      <c r="V181" s="5">
        <v>136.6</v>
      </c>
      <c r="W181" s="5">
        <v>134.69999999999999</v>
      </c>
      <c r="X181" s="5">
        <v>133.1</v>
      </c>
      <c r="Y181" s="5">
        <v>118.5</v>
      </c>
      <c r="Z181" s="5">
        <v>129</v>
      </c>
      <c r="AA181" s="5">
        <v>138.5</v>
      </c>
      <c r="AB181" s="5">
        <v>126.5</v>
      </c>
      <c r="AC181" s="5">
        <v>128.6</v>
      </c>
      <c r="AD181" s="5">
        <v>137.19999999999999</v>
      </c>
    </row>
    <row r="182" spans="1:30" x14ac:dyDescent="0.3">
      <c r="A182" t="s">
        <v>30</v>
      </c>
      <c r="B182" s="3">
        <v>2018</v>
      </c>
      <c r="C182" t="s">
        <v>31</v>
      </c>
      <c r="D182" s="5">
        <v>136.6</v>
      </c>
      <c r="E182" s="5">
        <v>144.4</v>
      </c>
      <c r="F182" s="5">
        <v>143.80000000000001</v>
      </c>
      <c r="G182" s="5">
        <v>142</v>
      </c>
      <c r="H182" s="5">
        <v>123.2</v>
      </c>
      <c r="I182" s="5">
        <v>147.9</v>
      </c>
      <c r="J182" s="5">
        <v>152.1</v>
      </c>
      <c r="K182" s="5">
        <v>131.80000000000001</v>
      </c>
      <c r="L182" s="5">
        <v>119.5</v>
      </c>
      <c r="M182" s="5">
        <v>136</v>
      </c>
      <c r="N182" s="5">
        <v>131.19999999999999</v>
      </c>
      <c r="O182" s="5">
        <v>151.80000000000001</v>
      </c>
      <c r="P182" s="5">
        <v>140.4</v>
      </c>
      <c r="Q182" s="5">
        <v>153.6</v>
      </c>
      <c r="R182" s="5">
        <v>148.30000000000001</v>
      </c>
      <c r="S182" s="5">
        <v>142.30000000000001</v>
      </c>
      <c r="T182" s="5">
        <v>147.5</v>
      </c>
      <c r="U182" s="5" t="s">
        <v>32</v>
      </c>
      <c r="V182" s="5">
        <v>142.30000000000001</v>
      </c>
      <c r="W182" s="5">
        <v>139.80000000000001</v>
      </c>
      <c r="X182" s="5">
        <v>136</v>
      </c>
      <c r="Y182" s="5">
        <v>122.7</v>
      </c>
      <c r="Z182" s="5">
        <v>134.30000000000001</v>
      </c>
      <c r="AA182" s="5">
        <v>141.6</v>
      </c>
      <c r="AB182" s="5">
        <v>128.6</v>
      </c>
      <c r="AC182" s="5">
        <v>132.30000000000001</v>
      </c>
      <c r="AD182" s="5">
        <v>139.30000000000001</v>
      </c>
    </row>
    <row r="183" spans="1:30" x14ac:dyDescent="0.3">
      <c r="A183" t="s">
        <v>33</v>
      </c>
      <c r="B183" s="3">
        <v>2018</v>
      </c>
      <c r="C183" t="s">
        <v>31</v>
      </c>
      <c r="D183" s="5">
        <v>134.6</v>
      </c>
      <c r="E183" s="5">
        <v>143.69999999999999</v>
      </c>
      <c r="F183" s="5">
        <v>143.6</v>
      </c>
      <c r="G183" s="5">
        <v>139.6</v>
      </c>
      <c r="H183" s="5">
        <v>116.4</v>
      </c>
      <c r="I183" s="5">
        <v>133.80000000000001</v>
      </c>
      <c r="J183" s="5">
        <v>150.5</v>
      </c>
      <c r="K183" s="5">
        <v>118.4</v>
      </c>
      <c r="L183" s="5">
        <v>117.3</v>
      </c>
      <c r="M183" s="5">
        <v>140.5</v>
      </c>
      <c r="N183" s="5">
        <v>125.9</v>
      </c>
      <c r="O183" s="5">
        <v>146.80000000000001</v>
      </c>
      <c r="P183" s="5">
        <v>137.19999999999999</v>
      </c>
      <c r="Q183" s="5">
        <v>157.69999999999999</v>
      </c>
      <c r="R183" s="5">
        <v>136</v>
      </c>
      <c r="S183" s="5">
        <v>125.9</v>
      </c>
      <c r="T183" s="5">
        <v>134.4</v>
      </c>
      <c r="U183" s="5">
        <v>140.4</v>
      </c>
      <c r="V183" s="5">
        <v>127.3</v>
      </c>
      <c r="W183" s="5">
        <v>129.5</v>
      </c>
      <c r="X183" s="5">
        <v>129</v>
      </c>
      <c r="Y183" s="5">
        <v>116.3</v>
      </c>
      <c r="Z183" s="5">
        <v>126.2</v>
      </c>
      <c r="AA183" s="5">
        <v>137.1</v>
      </c>
      <c r="AB183" s="5">
        <v>125.5</v>
      </c>
      <c r="AC183" s="5">
        <v>125.8</v>
      </c>
      <c r="AD183" s="5">
        <v>134.1</v>
      </c>
    </row>
    <row r="184" spans="1:30" x14ac:dyDescent="0.3">
      <c r="A184" t="s">
        <v>34</v>
      </c>
      <c r="B184" s="3">
        <v>2018</v>
      </c>
      <c r="C184" t="s">
        <v>31</v>
      </c>
      <c r="D184" s="5">
        <v>136</v>
      </c>
      <c r="E184" s="5">
        <v>144.19999999999999</v>
      </c>
      <c r="F184" s="5">
        <v>143.69999999999999</v>
      </c>
      <c r="G184" s="5">
        <v>141.1</v>
      </c>
      <c r="H184" s="5">
        <v>120.7</v>
      </c>
      <c r="I184" s="5">
        <v>141.30000000000001</v>
      </c>
      <c r="J184" s="5">
        <v>151.6</v>
      </c>
      <c r="K184" s="5">
        <v>127.3</v>
      </c>
      <c r="L184" s="5">
        <v>118.8</v>
      </c>
      <c r="M184" s="5">
        <v>137.5</v>
      </c>
      <c r="N184" s="5">
        <v>129</v>
      </c>
      <c r="O184" s="5">
        <v>149.5</v>
      </c>
      <c r="P184" s="5">
        <v>139.19999999999999</v>
      </c>
      <c r="Q184" s="5">
        <v>154.69999999999999</v>
      </c>
      <c r="R184" s="5">
        <v>143.5</v>
      </c>
      <c r="S184" s="5">
        <v>135.5</v>
      </c>
      <c r="T184" s="5">
        <v>142.30000000000001</v>
      </c>
      <c r="U184" s="5">
        <v>140.4</v>
      </c>
      <c r="V184" s="5">
        <v>136.6</v>
      </c>
      <c r="W184" s="5">
        <v>134.9</v>
      </c>
      <c r="X184" s="5">
        <v>133.30000000000001</v>
      </c>
      <c r="Y184" s="5">
        <v>119.3</v>
      </c>
      <c r="Z184" s="5">
        <v>129.69999999999999</v>
      </c>
      <c r="AA184" s="5">
        <v>139</v>
      </c>
      <c r="AB184" s="5">
        <v>127.3</v>
      </c>
      <c r="AC184" s="5">
        <v>129.1</v>
      </c>
      <c r="AD184" s="5">
        <v>136.9</v>
      </c>
    </row>
    <row r="185" spans="1:30" x14ac:dyDescent="0.3">
      <c r="A185" t="s">
        <v>30</v>
      </c>
      <c r="B185" s="3">
        <v>2018</v>
      </c>
      <c r="C185" t="s">
        <v>35</v>
      </c>
      <c r="D185" s="5">
        <v>136.4</v>
      </c>
      <c r="E185" s="5">
        <v>143.69999999999999</v>
      </c>
      <c r="F185" s="5">
        <v>140.6</v>
      </c>
      <c r="G185" s="5">
        <v>141.5</v>
      </c>
      <c r="H185" s="5">
        <v>122.9</v>
      </c>
      <c r="I185" s="5">
        <v>149.4</v>
      </c>
      <c r="J185" s="5">
        <v>142.4</v>
      </c>
      <c r="K185" s="5">
        <v>130.19999999999999</v>
      </c>
      <c r="L185" s="5">
        <v>117.9</v>
      </c>
      <c r="M185" s="5">
        <v>135.6</v>
      </c>
      <c r="N185" s="5">
        <v>130.5</v>
      </c>
      <c r="O185" s="5">
        <v>151.69999999999999</v>
      </c>
      <c r="P185" s="5">
        <v>138.69999999999999</v>
      </c>
      <c r="Q185" s="5">
        <v>153.30000000000001</v>
      </c>
      <c r="R185" s="5">
        <v>148.69999999999999</v>
      </c>
      <c r="S185" s="5">
        <v>142.4</v>
      </c>
      <c r="T185" s="5">
        <v>147.80000000000001</v>
      </c>
      <c r="U185" s="5" t="s">
        <v>32</v>
      </c>
      <c r="V185" s="5">
        <v>142.4</v>
      </c>
      <c r="W185" s="5">
        <v>139.9</v>
      </c>
      <c r="X185" s="5">
        <v>136.19999999999999</v>
      </c>
      <c r="Y185" s="5">
        <v>123.3</v>
      </c>
      <c r="Z185" s="5">
        <v>134.30000000000001</v>
      </c>
      <c r="AA185" s="5">
        <v>141.5</v>
      </c>
      <c r="AB185" s="5">
        <v>128.80000000000001</v>
      </c>
      <c r="AC185" s="5">
        <v>132.5</v>
      </c>
      <c r="AD185" s="5">
        <v>138.5</v>
      </c>
    </row>
    <row r="186" spans="1:30" x14ac:dyDescent="0.3">
      <c r="A186" t="s">
        <v>33</v>
      </c>
      <c r="B186" s="3">
        <v>2018</v>
      </c>
      <c r="C186" t="s">
        <v>35</v>
      </c>
      <c r="D186" s="5">
        <v>134.80000000000001</v>
      </c>
      <c r="E186" s="5">
        <v>143</v>
      </c>
      <c r="F186" s="5">
        <v>139.9</v>
      </c>
      <c r="G186" s="5">
        <v>139.9</v>
      </c>
      <c r="H186" s="5">
        <v>116.2</v>
      </c>
      <c r="I186" s="5">
        <v>135.5</v>
      </c>
      <c r="J186" s="5">
        <v>136.9</v>
      </c>
      <c r="K186" s="5">
        <v>117</v>
      </c>
      <c r="L186" s="5">
        <v>115.4</v>
      </c>
      <c r="M186" s="5">
        <v>140.69999999999999</v>
      </c>
      <c r="N186" s="5">
        <v>125.9</v>
      </c>
      <c r="O186" s="5">
        <v>147.1</v>
      </c>
      <c r="P186" s="5">
        <v>135.6</v>
      </c>
      <c r="Q186" s="5">
        <v>159.30000000000001</v>
      </c>
      <c r="R186" s="5">
        <v>136.30000000000001</v>
      </c>
      <c r="S186" s="5">
        <v>126.1</v>
      </c>
      <c r="T186" s="5">
        <v>134.69999999999999</v>
      </c>
      <c r="U186" s="5">
        <v>141.30000000000001</v>
      </c>
      <c r="V186" s="5">
        <v>127.3</v>
      </c>
      <c r="W186" s="5">
        <v>129.9</v>
      </c>
      <c r="X186" s="5">
        <v>129.80000000000001</v>
      </c>
      <c r="Y186" s="5">
        <v>117.4</v>
      </c>
      <c r="Z186" s="5">
        <v>126.5</v>
      </c>
      <c r="AA186" s="5">
        <v>137.19999999999999</v>
      </c>
      <c r="AB186" s="5">
        <v>126.2</v>
      </c>
      <c r="AC186" s="5">
        <v>126.5</v>
      </c>
      <c r="AD186" s="5">
        <v>134</v>
      </c>
    </row>
    <row r="187" spans="1:30" x14ac:dyDescent="0.3">
      <c r="A187" t="s">
        <v>34</v>
      </c>
      <c r="B187" s="3">
        <v>2018</v>
      </c>
      <c r="C187" t="s">
        <v>35</v>
      </c>
      <c r="D187" s="5">
        <v>135.9</v>
      </c>
      <c r="E187" s="5">
        <v>143.5</v>
      </c>
      <c r="F187" s="5">
        <v>140.30000000000001</v>
      </c>
      <c r="G187" s="5">
        <v>140.9</v>
      </c>
      <c r="H187" s="5">
        <v>120.4</v>
      </c>
      <c r="I187" s="5">
        <v>142.9</v>
      </c>
      <c r="J187" s="5">
        <v>140.5</v>
      </c>
      <c r="K187" s="5">
        <v>125.8</v>
      </c>
      <c r="L187" s="5">
        <v>117.1</v>
      </c>
      <c r="M187" s="5">
        <v>137.30000000000001</v>
      </c>
      <c r="N187" s="5">
        <v>128.6</v>
      </c>
      <c r="O187" s="5">
        <v>149.6</v>
      </c>
      <c r="P187" s="5">
        <v>137.6</v>
      </c>
      <c r="Q187" s="5">
        <v>154.9</v>
      </c>
      <c r="R187" s="5">
        <v>143.80000000000001</v>
      </c>
      <c r="S187" s="5">
        <v>135.6</v>
      </c>
      <c r="T187" s="5">
        <v>142.6</v>
      </c>
      <c r="U187" s="5">
        <v>141.30000000000001</v>
      </c>
      <c r="V187" s="5">
        <v>136.69999999999999</v>
      </c>
      <c r="W187" s="5">
        <v>135.19999999999999</v>
      </c>
      <c r="X187" s="5">
        <v>133.80000000000001</v>
      </c>
      <c r="Y187" s="5">
        <v>120.2</v>
      </c>
      <c r="Z187" s="5">
        <v>129.9</v>
      </c>
      <c r="AA187" s="5">
        <v>139</v>
      </c>
      <c r="AB187" s="5">
        <v>127.7</v>
      </c>
      <c r="AC187" s="5">
        <v>129.6</v>
      </c>
      <c r="AD187" s="5">
        <v>136.4</v>
      </c>
    </row>
    <row r="188" spans="1:30" x14ac:dyDescent="0.3">
      <c r="A188" t="s">
        <v>30</v>
      </c>
      <c r="B188" s="3">
        <v>2018</v>
      </c>
      <c r="C188" t="s">
        <v>36</v>
      </c>
      <c r="D188" s="5">
        <v>136.80000000000001</v>
      </c>
      <c r="E188" s="5">
        <v>143.80000000000001</v>
      </c>
      <c r="F188" s="5">
        <v>140</v>
      </c>
      <c r="G188" s="5">
        <v>142</v>
      </c>
      <c r="H188" s="5">
        <v>123.2</v>
      </c>
      <c r="I188" s="5">
        <v>152.9</v>
      </c>
      <c r="J188" s="5">
        <v>138</v>
      </c>
      <c r="K188" s="5">
        <v>129.30000000000001</v>
      </c>
      <c r="L188" s="5">
        <v>117.1</v>
      </c>
      <c r="M188" s="5">
        <v>136.30000000000001</v>
      </c>
      <c r="N188" s="5">
        <v>131.19999999999999</v>
      </c>
      <c r="O188" s="5">
        <v>152.80000000000001</v>
      </c>
      <c r="P188" s="5">
        <v>138.6</v>
      </c>
      <c r="Q188" s="5">
        <v>155.1</v>
      </c>
      <c r="R188" s="5">
        <v>149.19999999999999</v>
      </c>
      <c r="S188" s="5">
        <v>143</v>
      </c>
      <c r="T188" s="5">
        <v>148.30000000000001</v>
      </c>
      <c r="U188" s="5" t="s">
        <v>32</v>
      </c>
      <c r="V188" s="5">
        <v>142.6</v>
      </c>
      <c r="W188" s="5">
        <v>139.9</v>
      </c>
      <c r="X188" s="5">
        <v>136.69999999999999</v>
      </c>
      <c r="Y188" s="5">
        <v>124.6</v>
      </c>
      <c r="Z188" s="5">
        <v>135.1</v>
      </c>
      <c r="AA188" s="5">
        <v>142.69999999999999</v>
      </c>
      <c r="AB188" s="5">
        <v>129.30000000000001</v>
      </c>
      <c r="AC188" s="5">
        <v>133.30000000000001</v>
      </c>
      <c r="AD188" s="5">
        <v>138.69999999999999</v>
      </c>
    </row>
    <row r="189" spans="1:30" x14ac:dyDescent="0.3">
      <c r="A189" t="s">
        <v>33</v>
      </c>
      <c r="B189" s="3">
        <v>2018</v>
      </c>
      <c r="C189" t="s">
        <v>36</v>
      </c>
      <c r="D189" s="5">
        <v>135</v>
      </c>
      <c r="E189" s="5">
        <v>143.1</v>
      </c>
      <c r="F189" s="5">
        <v>135.5</v>
      </c>
      <c r="G189" s="5">
        <v>139.9</v>
      </c>
      <c r="H189" s="5">
        <v>116.5</v>
      </c>
      <c r="I189" s="5">
        <v>138.5</v>
      </c>
      <c r="J189" s="5">
        <v>128</v>
      </c>
      <c r="K189" s="5">
        <v>115.5</v>
      </c>
      <c r="L189" s="5">
        <v>114.2</v>
      </c>
      <c r="M189" s="5">
        <v>140.69999999999999</v>
      </c>
      <c r="N189" s="5">
        <v>126.2</v>
      </c>
      <c r="O189" s="5">
        <v>147.6</v>
      </c>
      <c r="P189" s="5">
        <v>134.80000000000001</v>
      </c>
      <c r="Q189" s="5">
        <v>159.69999999999999</v>
      </c>
      <c r="R189" s="5">
        <v>136.69999999999999</v>
      </c>
      <c r="S189" s="5">
        <v>126.7</v>
      </c>
      <c r="T189" s="5">
        <v>135.19999999999999</v>
      </c>
      <c r="U189" s="5">
        <v>142</v>
      </c>
      <c r="V189" s="5">
        <v>126.4</v>
      </c>
      <c r="W189" s="5">
        <v>130.80000000000001</v>
      </c>
      <c r="X189" s="5">
        <v>130.5</v>
      </c>
      <c r="Y189" s="5">
        <v>117.8</v>
      </c>
      <c r="Z189" s="5">
        <v>126.8</v>
      </c>
      <c r="AA189" s="5">
        <v>137.80000000000001</v>
      </c>
      <c r="AB189" s="5">
        <v>126.7</v>
      </c>
      <c r="AC189" s="5">
        <v>127.1</v>
      </c>
      <c r="AD189" s="5">
        <v>134</v>
      </c>
    </row>
    <row r="190" spans="1:30" x14ac:dyDescent="0.3">
      <c r="A190" t="s">
        <v>34</v>
      </c>
      <c r="B190" s="3">
        <v>2018</v>
      </c>
      <c r="C190" t="s">
        <v>36</v>
      </c>
      <c r="D190" s="5">
        <v>136.19999999999999</v>
      </c>
      <c r="E190" s="5">
        <v>143.6</v>
      </c>
      <c r="F190" s="5">
        <v>138.30000000000001</v>
      </c>
      <c r="G190" s="5">
        <v>141.19999999999999</v>
      </c>
      <c r="H190" s="5">
        <v>120.7</v>
      </c>
      <c r="I190" s="5">
        <v>146.19999999999999</v>
      </c>
      <c r="J190" s="5">
        <v>134.6</v>
      </c>
      <c r="K190" s="5">
        <v>124.6</v>
      </c>
      <c r="L190" s="5">
        <v>116.1</v>
      </c>
      <c r="M190" s="5">
        <v>137.80000000000001</v>
      </c>
      <c r="N190" s="5">
        <v>129.1</v>
      </c>
      <c r="O190" s="5">
        <v>150.4</v>
      </c>
      <c r="P190" s="5">
        <v>137.19999999999999</v>
      </c>
      <c r="Q190" s="5">
        <v>156.30000000000001</v>
      </c>
      <c r="R190" s="5">
        <v>144.30000000000001</v>
      </c>
      <c r="S190" s="5">
        <v>136.19999999999999</v>
      </c>
      <c r="T190" s="5">
        <v>143.1</v>
      </c>
      <c r="U190" s="5">
        <v>142</v>
      </c>
      <c r="V190" s="5">
        <v>136.5</v>
      </c>
      <c r="W190" s="5">
        <v>135.6</v>
      </c>
      <c r="X190" s="5">
        <v>134.30000000000001</v>
      </c>
      <c r="Y190" s="5">
        <v>121</v>
      </c>
      <c r="Z190" s="5">
        <v>130.4</v>
      </c>
      <c r="AA190" s="5">
        <v>139.80000000000001</v>
      </c>
      <c r="AB190" s="5">
        <v>128.19999999999999</v>
      </c>
      <c r="AC190" s="5">
        <v>130.30000000000001</v>
      </c>
      <c r="AD190" s="5">
        <v>136.5</v>
      </c>
    </row>
    <row r="191" spans="1:30" x14ac:dyDescent="0.3">
      <c r="A191" t="s">
        <v>30</v>
      </c>
      <c r="B191" s="3">
        <v>2018</v>
      </c>
      <c r="C191" t="s">
        <v>37</v>
      </c>
      <c r="D191" s="5">
        <v>137.1</v>
      </c>
      <c r="E191" s="5">
        <v>144.5</v>
      </c>
      <c r="F191" s="5">
        <v>135.9</v>
      </c>
      <c r="G191" s="5">
        <v>142.4</v>
      </c>
      <c r="H191" s="5">
        <v>123.5</v>
      </c>
      <c r="I191" s="5">
        <v>156.4</v>
      </c>
      <c r="J191" s="5">
        <v>135.1</v>
      </c>
      <c r="K191" s="5">
        <v>128.4</v>
      </c>
      <c r="L191" s="5">
        <v>115.2</v>
      </c>
      <c r="M191" s="5">
        <v>137.19999999999999</v>
      </c>
      <c r="N191" s="5">
        <v>131.9</v>
      </c>
      <c r="O191" s="5">
        <v>153.80000000000001</v>
      </c>
      <c r="P191" s="5">
        <v>138.6</v>
      </c>
      <c r="Q191" s="5">
        <v>156.1</v>
      </c>
      <c r="R191" s="5">
        <v>150.1</v>
      </c>
      <c r="S191" s="5">
        <v>143.30000000000001</v>
      </c>
      <c r="T191" s="5">
        <v>149.1</v>
      </c>
      <c r="U191" s="5" t="s">
        <v>32</v>
      </c>
      <c r="V191" s="5">
        <v>143.80000000000001</v>
      </c>
      <c r="W191" s="5">
        <v>140.9</v>
      </c>
      <c r="X191" s="5">
        <v>137.6</v>
      </c>
      <c r="Y191" s="5">
        <v>125.3</v>
      </c>
      <c r="Z191" s="5">
        <v>136</v>
      </c>
      <c r="AA191" s="5">
        <v>143.69999999999999</v>
      </c>
      <c r="AB191" s="5">
        <v>130.4</v>
      </c>
      <c r="AC191" s="5">
        <v>134.19999999999999</v>
      </c>
      <c r="AD191" s="5">
        <v>139.1</v>
      </c>
    </row>
    <row r="192" spans="1:30" x14ac:dyDescent="0.3">
      <c r="A192" t="s">
        <v>33</v>
      </c>
      <c r="B192" s="3">
        <v>2018</v>
      </c>
      <c r="C192" t="s">
        <v>37</v>
      </c>
      <c r="D192" s="5">
        <v>135</v>
      </c>
      <c r="E192" s="5">
        <v>144.30000000000001</v>
      </c>
      <c r="F192" s="5">
        <v>130.80000000000001</v>
      </c>
      <c r="G192" s="5">
        <v>140.30000000000001</v>
      </c>
      <c r="H192" s="5">
        <v>116.6</v>
      </c>
      <c r="I192" s="5">
        <v>150.1</v>
      </c>
      <c r="J192" s="5">
        <v>127.6</v>
      </c>
      <c r="K192" s="5">
        <v>114</v>
      </c>
      <c r="L192" s="5">
        <v>110.6</v>
      </c>
      <c r="M192" s="5">
        <v>140.19999999999999</v>
      </c>
      <c r="N192" s="5">
        <v>126.5</v>
      </c>
      <c r="O192" s="5">
        <v>148.30000000000001</v>
      </c>
      <c r="P192" s="5">
        <v>135.69999999999999</v>
      </c>
      <c r="Q192" s="5">
        <v>159.19999999999999</v>
      </c>
      <c r="R192" s="5">
        <v>137.80000000000001</v>
      </c>
      <c r="S192" s="5">
        <v>127.4</v>
      </c>
      <c r="T192" s="5">
        <v>136.19999999999999</v>
      </c>
      <c r="U192" s="5">
        <v>142.9</v>
      </c>
      <c r="V192" s="5">
        <v>124.6</v>
      </c>
      <c r="W192" s="5">
        <v>131.80000000000001</v>
      </c>
      <c r="X192" s="5">
        <v>131.30000000000001</v>
      </c>
      <c r="Y192" s="5">
        <v>118.9</v>
      </c>
      <c r="Z192" s="5">
        <v>127.6</v>
      </c>
      <c r="AA192" s="5">
        <v>139.69999999999999</v>
      </c>
      <c r="AB192" s="5">
        <v>127.6</v>
      </c>
      <c r="AC192" s="5">
        <v>128.19999999999999</v>
      </c>
      <c r="AD192" s="5">
        <v>134.80000000000001</v>
      </c>
    </row>
    <row r="193" spans="1:30" x14ac:dyDescent="0.3">
      <c r="A193" t="s">
        <v>34</v>
      </c>
      <c r="B193" s="3">
        <v>2018</v>
      </c>
      <c r="C193" t="s">
        <v>37</v>
      </c>
      <c r="D193" s="5">
        <v>136.4</v>
      </c>
      <c r="E193" s="5">
        <v>144.4</v>
      </c>
      <c r="F193" s="5">
        <v>133.9</v>
      </c>
      <c r="G193" s="5">
        <v>141.6</v>
      </c>
      <c r="H193" s="5">
        <v>121</v>
      </c>
      <c r="I193" s="5">
        <v>153.5</v>
      </c>
      <c r="J193" s="5">
        <v>132.6</v>
      </c>
      <c r="K193" s="5">
        <v>123.5</v>
      </c>
      <c r="L193" s="5">
        <v>113.7</v>
      </c>
      <c r="M193" s="5">
        <v>138.19999999999999</v>
      </c>
      <c r="N193" s="5">
        <v>129.6</v>
      </c>
      <c r="O193" s="5">
        <v>151.19999999999999</v>
      </c>
      <c r="P193" s="5">
        <v>137.5</v>
      </c>
      <c r="Q193" s="5">
        <v>156.9</v>
      </c>
      <c r="R193" s="5">
        <v>145.30000000000001</v>
      </c>
      <c r="S193" s="5">
        <v>136.69999999999999</v>
      </c>
      <c r="T193" s="5">
        <v>144</v>
      </c>
      <c r="U193" s="5">
        <v>142.9</v>
      </c>
      <c r="V193" s="5">
        <v>136.5</v>
      </c>
      <c r="W193" s="5">
        <v>136.6</v>
      </c>
      <c r="X193" s="5">
        <v>135.19999999999999</v>
      </c>
      <c r="Y193" s="5">
        <v>121.9</v>
      </c>
      <c r="Z193" s="5">
        <v>131.30000000000001</v>
      </c>
      <c r="AA193" s="5">
        <v>141.4</v>
      </c>
      <c r="AB193" s="5">
        <v>129.19999999999999</v>
      </c>
      <c r="AC193" s="5">
        <v>131.30000000000001</v>
      </c>
      <c r="AD193" s="5">
        <v>137.1</v>
      </c>
    </row>
    <row r="194" spans="1:30" x14ac:dyDescent="0.3">
      <c r="A194" t="s">
        <v>30</v>
      </c>
      <c r="B194" s="3">
        <v>2018</v>
      </c>
      <c r="C194" t="s">
        <v>38</v>
      </c>
      <c r="D194" s="5">
        <v>137.4</v>
      </c>
      <c r="E194" s="5">
        <v>145.69999999999999</v>
      </c>
      <c r="F194" s="5">
        <v>135.5</v>
      </c>
      <c r="G194" s="5">
        <v>142.9</v>
      </c>
      <c r="H194" s="5">
        <v>123.6</v>
      </c>
      <c r="I194" s="5">
        <v>157.5</v>
      </c>
      <c r="J194" s="5">
        <v>137.80000000000001</v>
      </c>
      <c r="K194" s="5">
        <v>127.2</v>
      </c>
      <c r="L194" s="5">
        <v>111.8</v>
      </c>
      <c r="M194" s="5">
        <v>137.4</v>
      </c>
      <c r="N194" s="5">
        <v>132.19999999999999</v>
      </c>
      <c r="O194" s="5">
        <v>154.30000000000001</v>
      </c>
      <c r="P194" s="5">
        <v>139.1</v>
      </c>
      <c r="Q194" s="5">
        <v>157</v>
      </c>
      <c r="R194" s="5">
        <v>150.80000000000001</v>
      </c>
      <c r="S194" s="5">
        <v>144.1</v>
      </c>
      <c r="T194" s="5">
        <v>149.80000000000001</v>
      </c>
      <c r="U194" s="5" t="s">
        <v>32</v>
      </c>
      <c r="V194" s="5">
        <v>144.30000000000001</v>
      </c>
      <c r="W194" s="5">
        <v>141.80000000000001</v>
      </c>
      <c r="X194" s="5">
        <v>138.4</v>
      </c>
      <c r="Y194" s="5">
        <v>126.4</v>
      </c>
      <c r="Z194" s="5">
        <v>136.80000000000001</v>
      </c>
      <c r="AA194" s="5">
        <v>144.4</v>
      </c>
      <c r="AB194" s="5">
        <v>131.19999999999999</v>
      </c>
      <c r="AC194" s="5">
        <v>135.1</v>
      </c>
      <c r="AD194" s="5">
        <v>139.80000000000001</v>
      </c>
    </row>
    <row r="195" spans="1:30" x14ac:dyDescent="0.3">
      <c r="A195" t="s">
        <v>33</v>
      </c>
      <c r="B195" s="3">
        <v>2018</v>
      </c>
      <c r="C195" t="s">
        <v>38</v>
      </c>
      <c r="D195" s="5">
        <v>135</v>
      </c>
      <c r="E195" s="5">
        <v>148.19999999999999</v>
      </c>
      <c r="F195" s="5">
        <v>130.5</v>
      </c>
      <c r="G195" s="5">
        <v>140.69999999999999</v>
      </c>
      <c r="H195" s="5">
        <v>116.4</v>
      </c>
      <c r="I195" s="5">
        <v>151.30000000000001</v>
      </c>
      <c r="J195" s="5">
        <v>131.4</v>
      </c>
      <c r="K195" s="5">
        <v>112.8</v>
      </c>
      <c r="L195" s="5">
        <v>105.3</v>
      </c>
      <c r="M195" s="5">
        <v>139.6</v>
      </c>
      <c r="N195" s="5">
        <v>126.6</v>
      </c>
      <c r="O195" s="5">
        <v>148.69999999999999</v>
      </c>
      <c r="P195" s="5">
        <v>136.4</v>
      </c>
      <c r="Q195" s="5">
        <v>160.30000000000001</v>
      </c>
      <c r="R195" s="5">
        <v>138.6</v>
      </c>
      <c r="S195" s="5">
        <v>127.9</v>
      </c>
      <c r="T195" s="5">
        <v>137</v>
      </c>
      <c r="U195" s="5">
        <v>143.19999999999999</v>
      </c>
      <c r="V195" s="5">
        <v>124.7</v>
      </c>
      <c r="W195" s="5">
        <v>132.5</v>
      </c>
      <c r="X195" s="5">
        <v>132</v>
      </c>
      <c r="Y195" s="5">
        <v>119.8</v>
      </c>
      <c r="Z195" s="5">
        <v>128</v>
      </c>
      <c r="AA195" s="5">
        <v>140.4</v>
      </c>
      <c r="AB195" s="5">
        <v>128.1</v>
      </c>
      <c r="AC195" s="5">
        <v>128.9</v>
      </c>
      <c r="AD195" s="5">
        <v>135.4</v>
      </c>
    </row>
    <row r="196" spans="1:30" x14ac:dyDescent="0.3">
      <c r="A196" t="s">
        <v>34</v>
      </c>
      <c r="B196" s="3">
        <v>2018</v>
      </c>
      <c r="C196" t="s">
        <v>38</v>
      </c>
      <c r="D196" s="5">
        <v>136.6</v>
      </c>
      <c r="E196" s="5">
        <v>146.6</v>
      </c>
      <c r="F196" s="5">
        <v>133.6</v>
      </c>
      <c r="G196" s="5">
        <v>142.1</v>
      </c>
      <c r="H196" s="5">
        <v>121</v>
      </c>
      <c r="I196" s="5">
        <v>154.6</v>
      </c>
      <c r="J196" s="5">
        <v>135.6</v>
      </c>
      <c r="K196" s="5">
        <v>122.3</v>
      </c>
      <c r="L196" s="5">
        <v>109.6</v>
      </c>
      <c r="M196" s="5">
        <v>138.1</v>
      </c>
      <c r="N196" s="5">
        <v>129.9</v>
      </c>
      <c r="O196" s="5">
        <v>151.69999999999999</v>
      </c>
      <c r="P196" s="5">
        <v>138.1</v>
      </c>
      <c r="Q196" s="5">
        <v>157.9</v>
      </c>
      <c r="R196" s="5">
        <v>146</v>
      </c>
      <c r="S196" s="5">
        <v>137.4</v>
      </c>
      <c r="T196" s="5">
        <v>144.69999999999999</v>
      </c>
      <c r="U196" s="5">
        <v>143.19999999999999</v>
      </c>
      <c r="V196" s="5">
        <v>136.9</v>
      </c>
      <c r="W196" s="5">
        <v>137.4</v>
      </c>
      <c r="X196" s="5">
        <v>136</v>
      </c>
      <c r="Y196" s="5">
        <v>122.9</v>
      </c>
      <c r="Z196" s="5">
        <v>131.80000000000001</v>
      </c>
      <c r="AA196" s="5">
        <v>142.1</v>
      </c>
      <c r="AB196" s="5">
        <v>129.9</v>
      </c>
      <c r="AC196" s="5">
        <v>132.1</v>
      </c>
      <c r="AD196" s="5">
        <v>137.80000000000001</v>
      </c>
    </row>
    <row r="197" spans="1:30" x14ac:dyDescent="0.3">
      <c r="A197" t="s">
        <v>30</v>
      </c>
      <c r="B197" s="3">
        <v>2018</v>
      </c>
      <c r="C197" t="s">
        <v>39</v>
      </c>
      <c r="D197" s="5">
        <v>137.6</v>
      </c>
      <c r="E197" s="5">
        <v>148.1</v>
      </c>
      <c r="F197" s="5">
        <v>136.69999999999999</v>
      </c>
      <c r="G197" s="5">
        <v>143.19999999999999</v>
      </c>
      <c r="H197" s="5">
        <v>124</v>
      </c>
      <c r="I197" s="5">
        <v>154.1</v>
      </c>
      <c r="J197" s="5">
        <v>143.5</v>
      </c>
      <c r="K197" s="5">
        <v>126</v>
      </c>
      <c r="L197" s="5">
        <v>112.4</v>
      </c>
      <c r="M197" s="5">
        <v>137.6</v>
      </c>
      <c r="N197" s="5">
        <v>132.80000000000001</v>
      </c>
      <c r="O197" s="5">
        <v>154.30000000000001</v>
      </c>
      <c r="P197" s="5">
        <v>140</v>
      </c>
      <c r="Q197" s="5">
        <v>157.30000000000001</v>
      </c>
      <c r="R197" s="5">
        <v>151.30000000000001</v>
      </c>
      <c r="S197" s="5">
        <v>144.69999999999999</v>
      </c>
      <c r="T197" s="5">
        <v>150.30000000000001</v>
      </c>
      <c r="U197" s="5" t="s">
        <v>32</v>
      </c>
      <c r="V197" s="5">
        <v>145.1</v>
      </c>
      <c r="W197" s="5">
        <v>142.19999999999999</v>
      </c>
      <c r="X197" s="5">
        <v>138.4</v>
      </c>
      <c r="Y197" s="5">
        <v>127.4</v>
      </c>
      <c r="Z197" s="5">
        <v>137.80000000000001</v>
      </c>
      <c r="AA197" s="5">
        <v>145.1</v>
      </c>
      <c r="AB197" s="5">
        <v>131.4</v>
      </c>
      <c r="AC197" s="5">
        <v>135.6</v>
      </c>
      <c r="AD197" s="5">
        <v>140.5</v>
      </c>
    </row>
    <row r="198" spans="1:30" x14ac:dyDescent="0.3">
      <c r="A198" t="s">
        <v>33</v>
      </c>
      <c r="B198" s="3">
        <v>2018</v>
      </c>
      <c r="C198" t="s">
        <v>39</v>
      </c>
      <c r="D198" s="5">
        <v>135.30000000000001</v>
      </c>
      <c r="E198" s="5">
        <v>149.69999999999999</v>
      </c>
      <c r="F198" s="5">
        <v>133.9</v>
      </c>
      <c r="G198" s="5">
        <v>140.80000000000001</v>
      </c>
      <c r="H198" s="5">
        <v>116.6</v>
      </c>
      <c r="I198" s="5">
        <v>152.19999999999999</v>
      </c>
      <c r="J198" s="5">
        <v>144</v>
      </c>
      <c r="K198" s="5">
        <v>112.3</v>
      </c>
      <c r="L198" s="5">
        <v>108.4</v>
      </c>
      <c r="M198" s="5">
        <v>140</v>
      </c>
      <c r="N198" s="5">
        <v>126.7</v>
      </c>
      <c r="O198" s="5">
        <v>149</v>
      </c>
      <c r="P198" s="5">
        <v>138.4</v>
      </c>
      <c r="Q198" s="5">
        <v>161</v>
      </c>
      <c r="R198" s="5">
        <v>138.9</v>
      </c>
      <c r="S198" s="5">
        <v>128.69999999999999</v>
      </c>
      <c r="T198" s="5">
        <v>137.4</v>
      </c>
      <c r="U198" s="5">
        <v>142.5</v>
      </c>
      <c r="V198" s="5">
        <v>126.5</v>
      </c>
      <c r="W198" s="5">
        <v>133.1</v>
      </c>
      <c r="X198" s="5">
        <v>132.6</v>
      </c>
      <c r="Y198" s="5">
        <v>120.4</v>
      </c>
      <c r="Z198" s="5">
        <v>128.5</v>
      </c>
      <c r="AA198" s="5">
        <v>141.19999999999999</v>
      </c>
      <c r="AB198" s="5">
        <v>128.19999999999999</v>
      </c>
      <c r="AC198" s="5">
        <v>129.5</v>
      </c>
      <c r="AD198" s="5">
        <v>136.19999999999999</v>
      </c>
    </row>
    <row r="199" spans="1:30" x14ac:dyDescent="0.3">
      <c r="A199" t="s">
        <v>34</v>
      </c>
      <c r="B199" s="3">
        <v>2018</v>
      </c>
      <c r="C199" t="s">
        <v>39</v>
      </c>
      <c r="D199" s="5">
        <v>136.9</v>
      </c>
      <c r="E199" s="5">
        <v>148.69999999999999</v>
      </c>
      <c r="F199" s="5">
        <v>135.6</v>
      </c>
      <c r="G199" s="5">
        <v>142.30000000000001</v>
      </c>
      <c r="H199" s="5">
        <v>121.3</v>
      </c>
      <c r="I199" s="5">
        <v>153.19999999999999</v>
      </c>
      <c r="J199" s="5">
        <v>143.69999999999999</v>
      </c>
      <c r="K199" s="5">
        <v>121.4</v>
      </c>
      <c r="L199" s="5">
        <v>111.1</v>
      </c>
      <c r="M199" s="5">
        <v>138.4</v>
      </c>
      <c r="N199" s="5">
        <v>130.30000000000001</v>
      </c>
      <c r="O199" s="5">
        <v>151.80000000000001</v>
      </c>
      <c r="P199" s="5">
        <v>139.4</v>
      </c>
      <c r="Q199" s="5">
        <v>158.30000000000001</v>
      </c>
      <c r="R199" s="5">
        <v>146.4</v>
      </c>
      <c r="S199" s="5">
        <v>138.1</v>
      </c>
      <c r="T199" s="5">
        <v>145.19999999999999</v>
      </c>
      <c r="U199" s="5">
        <v>142.5</v>
      </c>
      <c r="V199" s="5">
        <v>138.1</v>
      </c>
      <c r="W199" s="5">
        <v>137.9</v>
      </c>
      <c r="X199" s="5">
        <v>136.19999999999999</v>
      </c>
      <c r="Y199" s="5">
        <v>123.7</v>
      </c>
      <c r="Z199" s="5">
        <v>132.6</v>
      </c>
      <c r="AA199" s="5">
        <v>142.80000000000001</v>
      </c>
      <c r="AB199" s="5">
        <v>130.1</v>
      </c>
      <c r="AC199" s="5">
        <v>132.6</v>
      </c>
      <c r="AD199" s="5">
        <v>138.5</v>
      </c>
    </row>
    <row r="200" spans="1:30" x14ac:dyDescent="0.3">
      <c r="A200" t="s">
        <v>30</v>
      </c>
      <c r="B200" s="3">
        <v>2018</v>
      </c>
      <c r="C200" t="s">
        <v>40</v>
      </c>
      <c r="D200" s="5">
        <v>138.4</v>
      </c>
      <c r="E200" s="5">
        <v>149.30000000000001</v>
      </c>
      <c r="F200" s="5">
        <v>139.30000000000001</v>
      </c>
      <c r="G200" s="5">
        <v>143.4</v>
      </c>
      <c r="H200" s="5">
        <v>124.1</v>
      </c>
      <c r="I200" s="5">
        <v>153.30000000000001</v>
      </c>
      <c r="J200" s="5">
        <v>154.19999999999999</v>
      </c>
      <c r="K200" s="5">
        <v>126.4</v>
      </c>
      <c r="L200" s="5">
        <v>114.3</v>
      </c>
      <c r="M200" s="5">
        <v>138.19999999999999</v>
      </c>
      <c r="N200" s="5">
        <v>132.80000000000001</v>
      </c>
      <c r="O200" s="5">
        <v>154.80000000000001</v>
      </c>
      <c r="P200" s="5">
        <v>142</v>
      </c>
      <c r="Q200" s="5">
        <v>156.1</v>
      </c>
      <c r="R200" s="5">
        <v>151.5</v>
      </c>
      <c r="S200" s="5">
        <v>145.1</v>
      </c>
      <c r="T200" s="5">
        <v>150.6</v>
      </c>
      <c r="U200" s="5" t="s">
        <v>32</v>
      </c>
      <c r="V200" s="5">
        <v>146.80000000000001</v>
      </c>
      <c r="W200" s="5">
        <v>143.1</v>
      </c>
      <c r="X200" s="5">
        <v>139</v>
      </c>
      <c r="Y200" s="5">
        <v>127.5</v>
      </c>
      <c r="Z200" s="5">
        <v>138.4</v>
      </c>
      <c r="AA200" s="5">
        <v>145.80000000000001</v>
      </c>
      <c r="AB200" s="5">
        <v>131.4</v>
      </c>
      <c r="AC200" s="5">
        <v>136</v>
      </c>
      <c r="AD200" s="5">
        <v>141.80000000000001</v>
      </c>
    </row>
    <row r="201" spans="1:30" x14ac:dyDescent="0.3">
      <c r="A201" t="s">
        <v>33</v>
      </c>
      <c r="B201" s="3">
        <v>2018</v>
      </c>
      <c r="C201" t="s">
        <v>40</v>
      </c>
      <c r="D201" s="5">
        <v>135.6</v>
      </c>
      <c r="E201" s="5">
        <v>148.6</v>
      </c>
      <c r="F201" s="5">
        <v>139.1</v>
      </c>
      <c r="G201" s="5">
        <v>141</v>
      </c>
      <c r="H201" s="5">
        <v>116.7</v>
      </c>
      <c r="I201" s="5">
        <v>149.69999999999999</v>
      </c>
      <c r="J201" s="5">
        <v>159.19999999999999</v>
      </c>
      <c r="K201" s="5">
        <v>112.6</v>
      </c>
      <c r="L201" s="5">
        <v>111.8</v>
      </c>
      <c r="M201" s="5">
        <v>140.30000000000001</v>
      </c>
      <c r="N201" s="5">
        <v>126.8</v>
      </c>
      <c r="O201" s="5">
        <v>149.4</v>
      </c>
      <c r="P201" s="5">
        <v>140.30000000000001</v>
      </c>
      <c r="Q201" s="5">
        <v>161.4</v>
      </c>
      <c r="R201" s="5">
        <v>139.6</v>
      </c>
      <c r="S201" s="5">
        <v>128.9</v>
      </c>
      <c r="T201" s="5">
        <v>137.9</v>
      </c>
      <c r="U201" s="5">
        <v>143.6</v>
      </c>
      <c r="V201" s="5">
        <v>128.1</v>
      </c>
      <c r="W201" s="5">
        <v>133.6</v>
      </c>
      <c r="X201" s="5">
        <v>133.6</v>
      </c>
      <c r="Y201" s="5">
        <v>120.1</v>
      </c>
      <c r="Z201" s="5">
        <v>129</v>
      </c>
      <c r="AA201" s="5">
        <v>144</v>
      </c>
      <c r="AB201" s="5">
        <v>128.19999999999999</v>
      </c>
      <c r="AC201" s="5">
        <v>130.19999999999999</v>
      </c>
      <c r="AD201" s="5">
        <v>137.5</v>
      </c>
    </row>
    <row r="202" spans="1:30" x14ac:dyDescent="0.3">
      <c r="A202" t="s">
        <v>34</v>
      </c>
      <c r="B202" s="3">
        <v>2018</v>
      </c>
      <c r="C202" t="s">
        <v>40</v>
      </c>
      <c r="D202" s="5">
        <v>137.5</v>
      </c>
      <c r="E202" s="5">
        <v>149.1</v>
      </c>
      <c r="F202" s="5">
        <v>139.19999999999999</v>
      </c>
      <c r="G202" s="5">
        <v>142.5</v>
      </c>
      <c r="H202" s="5">
        <v>121.4</v>
      </c>
      <c r="I202" s="5">
        <v>151.6</v>
      </c>
      <c r="J202" s="5">
        <v>155.9</v>
      </c>
      <c r="K202" s="5">
        <v>121.7</v>
      </c>
      <c r="L202" s="5">
        <v>113.5</v>
      </c>
      <c r="M202" s="5">
        <v>138.9</v>
      </c>
      <c r="N202" s="5">
        <v>130.30000000000001</v>
      </c>
      <c r="O202" s="5">
        <v>152.30000000000001</v>
      </c>
      <c r="P202" s="5">
        <v>141.4</v>
      </c>
      <c r="Q202" s="5">
        <v>157.5</v>
      </c>
      <c r="R202" s="5">
        <v>146.80000000000001</v>
      </c>
      <c r="S202" s="5">
        <v>138.4</v>
      </c>
      <c r="T202" s="5">
        <v>145.6</v>
      </c>
      <c r="U202" s="5">
        <v>143.6</v>
      </c>
      <c r="V202" s="5">
        <v>139.69999999999999</v>
      </c>
      <c r="W202" s="5">
        <v>138.6</v>
      </c>
      <c r="X202" s="5">
        <v>137</v>
      </c>
      <c r="Y202" s="5">
        <v>123.6</v>
      </c>
      <c r="Z202" s="5">
        <v>133.1</v>
      </c>
      <c r="AA202" s="5">
        <v>144.69999999999999</v>
      </c>
      <c r="AB202" s="5">
        <v>130.1</v>
      </c>
      <c r="AC202" s="5">
        <v>133.19999999999999</v>
      </c>
      <c r="AD202" s="5">
        <v>139.80000000000001</v>
      </c>
    </row>
    <row r="203" spans="1:30" x14ac:dyDescent="0.3">
      <c r="A203" t="s">
        <v>30</v>
      </c>
      <c r="B203" s="3">
        <v>2018</v>
      </c>
      <c r="C203" t="s">
        <v>41</v>
      </c>
      <c r="D203" s="5">
        <v>139.19999999999999</v>
      </c>
      <c r="E203" s="5">
        <v>148.80000000000001</v>
      </c>
      <c r="F203" s="5">
        <v>139.1</v>
      </c>
      <c r="G203" s="5">
        <v>143.5</v>
      </c>
      <c r="H203" s="5">
        <v>125</v>
      </c>
      <c r="I203" s="5">
        <v>154.4</v>
      </c>
      <c r="J203" s="5">
        <v>156.30000000000001</v>
      </c>
      <c r="K203" s="5">
        <v>126.8</v>
      </c>
      <c r="L203" s="5">
        <v>115.4</v>
      </c>
      <c r="M203" s="5">
        <v>138.6</v>
      </c>
      <c r="N203" s="5">
        <v>133.80000000000001</v>
      </c>
      <c r="O203" s="5">
        <v>155.19999999999999</v>
      </c>
      <c r="P203" s="5">
        <v>142.69999999999999</v>
      </c>
      <c r="Q203" s="5">
        <v>156.4</v>
      </c>
      <c r="R203" s="5">
        <v>152.1</v>
      </c>
      <c r="S203" s="5">
        <v>145.80000000000001</v>
      </c>
      <c r="T203" s="5">
        <v>151.30000000000001</v>
      </c>
      <c r="U203" s="5" t="s">
        <v>32</v>
      </c>
      <c r="V203" s="5">
        <v>147.69999999999999</v>
      </c>
      <c r="W203" s="5">
        <v>143.80000000000001</v>
      </c>
      <c r="X203" s="5">
        <v>139.4</v>
      </c>
      <c r="Y203" s="5">
        <v>128.30000000000001</v>
      </c>
      <c r="Z203" s="5">
        <v>138.6</v>
      </c>
      <c r="AA203" s="5">
        <v>146.9</v>
      </c>
      <c r="AB203" s="5">
        <v>131.30000000000001</v>
      </c>
      <c r="AC203" s="5">
        <v>136.6</v>
      </c>
      <c r="AD203" s="5">
        <v>142.5</v>
      </c>
    </row>
    <row r="204" spans="1:30" x14ac:dyDescent="0.3">
      <c r="A204" t="s">
        <v>33</v>
      </c>
      <c r="B204" s="3">
        <v>2018</v>
      </c>
      <c r="C204" t="s">
        <v>41</v>
      </c>
      <c r="D204" s="5">
        <v>136.5</v>
      </c>
      <c r="E204" s="5">
        <v>146.4</v>
      </c>
      <c r="F204" s="5">
        <v>136.6</v>
      </c>
      <c r="G204" s="5">
        <v>141.19999999999999</v>
      </c>
      <c r="H204" s="5">
        <v>117.4</v>
      </c>
      <c r="I204" s="5">
        <v>146.30000000000001</v>
      </c>
      <c r="J204" s="5">
        <v>157.30000000000001</v>
      </c>
      <c r="K204" s="5">
        <v>113.6</v>
      </c>
      <c r="L204" s="5">
        <v>113.3</v>
      </c>
      <c r="M204" s="5">
        <v>141.1</v>
      </c>
      <c r="N204" s="5">
        <v>127.4</v>
      </c>
      <c r="O204" s="5">
        <v>150.4</v>
      </c>
      <c r="P204" s="5">
        <v>140.1</v>
      </c>
      <c r="Q204" s="5">
        <v>162.1</v>
      </c>
      <c r="R204" s="5">
        <v>140</v>
      </c>
      <c r="S204" s="5">
        <v>129</v>
      </c>
      <c r="T204" s="5">
        <v>138.30000000000001</v>
      </c>
      <c r="U204" s="5">
        <v>144.6</v>
      </c>
      <c r="V204" s="5">
        <v>129.80000000000001</v>
      </c>
      <c r="W204" s="5">
        <v>134.4</v>
      </c>
      <c r="X204" s="5">
        <v>134.9</v>
      </c>
      <c r="Y204" s="5">
        <v>120.7</v>
      </c>
      <c r="Z204" s="5">
        <v>129.80000000000001</v>
      </c>
      <c r="AA204" s="5">
        <v>145.30000000000001</v>
      </c>
      <c r="AB204" s="5">
        <v>128.30000000000001</v>
      </c>
      <c r="AC204" s="5">
        <v>131</v>
      </c>
      <c r="AD204" s="5">
        <v>138</v>
      </c>
    </row>
    <row r="205" spans="1:30" x14ac:dyDescent="0.3">
      <c r="A205" t="s">
        <v>34</v>
      </c>
      <c r="B205" s="3">
        <v>2018</v>
      </c>
      <c r="C205" t="s">
        <v>41</v>
      </c>
      <c r="D205" s="5">
        <v>138.30000000000001</v>
      </c>
      <c r="E205" s="5">
        <v>148</v>
      </c>
      <c r="F205" s="5">
        <v>138.1</v>
      </c>
      <c r="G205" s="5">
        <v>142.6</v>
      </c>
      <c r="H205" s="5">
        <v>122.2</v>
      </c>
      <c r="I205" s="5">
        <v>150.6</v>
      </c>
      <c r="J205" s="5">
        <v>156.6</v>
      </c>
      <c r="K205" s="5">
        <v>122.4</v>
      </c>
      <c r="L205" s="5">
        <v>114.7</v>
      </c>
      <c r="M205" s="5">
        <v>139.4</v>
      </c>
      <c r="N205" s="5">
        <v>131.1</v>
      </c>
      <c r="O205" s="5">
        <v>153</v>
      </c>
      <c r="P205" s="5">
        <v>141.69999999999999</v>
      </c>
      <c r="Q205" s="5">
        <v>157.9</v>
      </c>
      <c r="R205" s="5">
        <v>147.30000000000001</v>
      </c>
      <c r="S205" s="5">
        <v>138.80000000000001</v>
      </c>
      <c r="T205" s="5">
        <v>146.1</v>
      </c>
      <c r="U205" s="5">
        <v>144.6</v>
      </c>
      <c r="V205" s="5">
        <v>140.9</v>
      </c>
      <c r="W205" s="5">
        <v>139.4</v>
      </c>
      <c r="X205" s="5">
        <v>137.69999999999999</v>
      </c>
      <c r="Y205" s="5">
        <v>124.3</v>
      </c>
      <c r="Z205" s="5">
        <v>133.6</v>
      </c>
      <c r="AA205" s="5">
        <v>146</v>
      </c>
      <c r="AB205" s="5">
        <v>130.1</v>
      </c>
      <c r="AC205" s="5">
        <v>133.9</v>
      </c>
      <c r="AD205" s="5">
        <v>140.4</v>
      </c>
    </row>
    <row r="206" spans="1:30" x14ac:dyDescent="0.3">
      <c r="A206" t="s">
        <v>30</v>
      </c>
      <c r="B206" s="3">
        <v>2018</v>
      </c>
      <c r="C206" t="s">
        <v>42</v>
      </c>
      <c r="D206" s="5">
        <v>139.4</v>
      </c>
      <c r="E206" s="5">
        <v>147.19999999999999</v>
      </c>
      <c r="F206" s="5">
        <v>136.6</v>
      </c>
      <c r="G206" s="5">
        <v>143.69999999999999</v>
      </c>
      <c r="H206" s="5">
        <v>124.6</v>
      </c>
      <c r="I206" s="5">
        <v>150.1</v>
      </c>
      <c r="J206" s="5">
        <v>149.4</v>
      </c>
      <c r="K206" s="5">
        <v>125.4</v>
      </c>
      <c r="L206" s="5">
        <v>114.4</v>
      </c>
      <c r="M206" s="5">
        <v>138.69999999999999</v>
      </c>
      <c r="N206" s="5">
        <v>133.1</v>
      </c>
      <c r="O206" s="5">
        <v>155.9</v>
      </c>
      <c r="P206" s="5">
        <v>141.30000000000001</v>
      </c>
      <c r="Q206" s="5">
        <v>157.69999999999999</v>
      </c>
      <c r="R206" s="5">
        <v>152.1</v>
      </c>
      <c r="S206" s="5">
        <v>146.1</v>
      </c>
      <c r="T206" s="5">
        <v>151.30000000000001</v>
      </c>
      <c r="U206" s="5" t="s">
        <v>32</v>
      </c>
      <c r="V206" s="5">
        <v>149</v>
      </c>
      <c r="W206" s="5">
        <v>144</v>
      </c>
      <c r="X206" s="5">
        <v>140</v>
      </c>
      <c r="Y206" s="5">
        <v>129.9</v>
      </c>
      <c r="Z206" s="5">
        <v>140</v>
      </c>
      <c r="AA206" s="5">
        <v>147.6</v>
      </c>
      <c r="AB206" s="5">
        <v>132</v>
      </c>
      <c r="AC206" s="5">
        <v>137.4</v>
      </c>
      <c r="AD206" s="5">
        <v>142.1</v>
      </c>
    </row>
    <row r="207" spans="1:30" x14ac:dyDescent="0.3">
      <c r="A207" t="s">
        <v>33</v>
      </c>
      <c r="B207" s="3">
        <v>2018</v>
      </c>
      <c r="C207" t="s">
        <v>42</v>
      </c>
      <c r="D207" s="5">
        <v>137</v>
      </c>
      <c r="E207" s="5">
        <v>143.1</v>
      </c>
      <c r="F207" s="5">
        <v>132.80000000000001</v>
      </c>
      <c r="G207" s="5">
        <v>141.5</v>
      </c>
      <c r="H207" s="5">
        <v>117.8</v>
      </c>
      <c r="I207" s="5">
        <v>140</v>
      </c>
      <c r="J207" s="5">
        <v>151.30000000000001</v>
      </c>
      <c r="K207" s="5">
        <v>113.5</v>
      </c>
      <c r="L207" s="5">
        <v>112.3</v>
      </c>
      <c r="M207" s="5">
        <v>141.19999999999999</v>
      </c>
      <c r="N207" s="5">
        <v>127.7</v>
      </c>
      <c r="O207" s="5">
        <v>151.30000000000001</v>
      </c>
      <c r="P207" s="5">
        <v>138.9</v>
      </c>
      <c r="Q207" s="5">
        <v>163.30000000000001</v>
      </c>
      <c r="R207" s="5">
        <v>140.80000000000001</v>
      </c>
      <c r="S207" s="5">
        <v>129.30000000000001</v>
      </c>
      <c r="T207" s="5">
        <v>139.1</v>
      </c>
      <c r="U207" s="5">
        <v>145.30000000000001</v>
      </c>
      <c r="V207" s="5">
        <v>131.19999999999999</v>
      </c>
      <c r="W207" s="5">
        <v>134.9</v>
      </c>
      <c r="X207" s="5">
        <v>135.69999999999999</v>
      </c>
      <c r="Y207" s="5">
        <v>122.5</v>
      </c>
      <c r="Z207" s="5">
        <v>130.19999999999999</v>
      </c>
      <c r="AA207" s="5">
        <v>145.19999999999999</v>
      </c>
      <c r="AB207" s="5">
        <v>129.30000000000001</v>
      </c>
      <c r="AC207" s="5">
        <v>131.9</v>
      </c>
      <c r="AD207" s="5">
        <v>138.1</v>
      </c>
    </row>
    <row r="208" spans="1:30" x14ac:dyDescent="0.3">
      <c r="A208" t="s">
        <v>34</v>
      </c>
      <c r="B208" s="3">
        <v>2018</v>
      </c>
      <c r="C208" t="s">
        <v>42</v>
      </c>
      <c r="D208" s="5">
        <v>138.6</v>
      </c>
      <c r="E208" s="5">
        <v>145.80000000000001</v>
      </c>
      <c r="F208" s="5">
        <v>135.1</v>
      </c>
      <c r="G208" s="5">
        <v>142.9</v>
      </c>
      <c r="H208" s="5">
        <v>122.1</v>
      </c>
      <c r="I208" s="5">
        <v>145.4</v>
      </c>
      <c r="J208" s="5">
        <v>150</v>
      </c>
      <c r="K208" s="5">
        <v>121.4</v>
      </c>
      <c r="L208" s="5">
        <v>113.7</v>
      </c>
      <c r="M208" s="5">
        <v>139.5</v>
      </c>
      <c r="N208" s="5">
        <v>130.80000000000001</v>
      </c>
      <c r="O208" s="5">
        <v>153.80000000000001</v>
      </c>
      <c r="P208" s="5">
        <v>140.4</v>
      </c>
      <c r="Q208" s="5">
        <v>159.19999999999999</v>
      </c>
      <c r="R208" s="5">
        <v>147.69999999999999</v>
      </c>
      <c r="S208" s="5">
        <v>139.1</v>
      </c>
      <c r="T208" s="5">
        <v>146.5</v>
      </c>
      <c r="U208" s="5">
        <v>145.30000000000001</v>
      </c>
      <c r="V208" s="5">
        <v>142.30000000000001</v>
      </c>
      <c r="W208" s="5">
        <v>139.69999999999999</v>
      </c>
      <c r="X208" s="5">
        <v>138.4</v>
      </c>
      <c r="Y208" s="5">
        <v>126</v>
      </c>
      <c r="Z208" s="5">
        <v>134.5</v>
      </c>
      <c r="AA208" s="5">
        <v>146.19999999999999</v>
      </c>
      <c r="AB208" s="5">
        <v>130.9</v>
      </c>
      <c r="AC208" s="5">
        <v>134.69999999999999</v>
      </c>
      <c r="AD208" s="5">
        <v>140.19999999999999</v>
      </c>
    </row>
    <row r="209" spans="1:30" x14ac:dyDescent="0.3">
      <c r="A209" t="s">
        <v>30</v>
      </c>
      <c r="B209" s="3">
        <v>2018</v>
      </c>
      <c r="C209" t="s">
        <v>43</v>
      </c>
      <c r="D209" s="5">
        <v>139.30000000000001</v>
      </c>
      <c r="E209" s="5">
        <v>147.6</v>
      </c>
      <c r="F209" s="5">
        <v>134.6</v>
      </c>
      <c r="G209" s="5">
        <v>141.9</v>
      </c>
      <c r="H209" s="5">
        <v>123.5</v>
      </c>
      <c r="I209" s="5">
        <v>144.5</v>
      </c>
      <c r="J209" s="5">
        <v>147.6</v>
      </c>
      <c r="K209" s="5">
        <v>121.4</v>
      </c>
      <c r="L209" s="5">
        <v>112.3</v>
      </c>
      <c r="M209" s="5">
        <v>139.5</v>
      </c>
      <c r="N209" s="5">
        <v>134.6</v>
      </c>
      <c r="O209" s="5">
        <v>155.19999999999999</v>
      </c>
      <c r="P209" s="5">
        <v>140.19999999999999</v>
      </c>
      <c r="Q209" s="5">
        <v>159.6</v>
      </c>
      <c r="R209" s="5">
        <v>150.69999999999999</v>
      </c>
      <c r="S209" s="5">
        <v>144.5</v>
      </c>
      <c r="T209" s="5">
        <v>149.80000000000001</v>
      </c>
      <c r="U209" s="5" t="s">
        <v>32</v>
      </c>
      <c r="V209" s="5">
        <v>149.69999999999999</v>
      </c>
      <c r="W209" s="5">
        <v>147.5</v>
      </c>
      <c r="X209" s="5">
        <v>144.80000000000001</v>
      </c>
      <c r="Y209" s="5">
        <v>130.80000000000001</v>
      </c>
      <c r="Z209" s="5">
        <v>140.1</v>
      </c>
      <c r="AA209" s="5">
        <v>148</v>
      </c>
      <c r="AB209" s="5">
        <v>134.4</v>
      </c>
      <c r="AC209" s="5">
        <v>139.80000000000001</v>
      </c>
      <c r="AD209" s="5">
        <v>142.19999999999999</v>
      </c>
    </row>
    <row r="210" spans="1:30" x14ac:dyDescent="0.3">
      <c r="A210" t="s">
        <v>33</v>
      </c>
      <c r="B210" s="3">
        <v>2018</v>
      </c>
      <c r="C210" t="s">
        <v>43</v>
      </c>
      <c r="D210" s="5">
        <v>137.6</v>
      </c>
      <c r="E210" s="5">
        <v>144.9</v>
      </c>
      <c r="F210" s="5">
        <v>133.5</v>
      </c>
      <c r="G210" s="5">
        <v>141.5</v>
      </c>
      <c r="H210" s="5">
        <v>118</v>
      </c>
      <c r="I210" s="5">
        <v>139.5</v>
      </c>
      <c r="J210" s="5">
        <v>153</v>
      </c>
      <c r="K210" s="5">
        <v>113.2</v>
      </c>
      <c r="L210" s="5">
        <v>112.8</v>
      </c>
      <c r="M210" s="5">
        <v>141.1</v>
      </c>
      <c r="N210" s="5">
        <v>127.6</v>
      </c>
      <c r="O210" s="5">
        <v>152</v>
      </c>
      <c r="P210" s="5">
        <v>139.4</v>
      </c>
      <c r="Q210" s="5">
        <v>164</v>
      </c>
      <c r="R210" s="5">
        <v>141.5</v>
      </c>
      <c r="S210" s="5">
        <v>129.80000000000001</v>
      </c>
      <c r="T210" s="5">
        <v>139.69999999999999</v>
      </c>
      <c r="U210" s="5">
        <v>146.30000000000001</v>
      </c>
      <c r="V210" s="5">
        <v>133.4</v>
      </c>
      <c r="W210" s="5">
        <v>135.1</v>
      </c>
      <c r="X210" s="5">
        <v>136.19999999999999</v>
      </c>
      <c r="Y210" s="5">
        <v>123.3</v>
      </c>
      <c r="Z210" s="5">
        <v>130.69999999999999</v>
      </c>
      <c r="AA210" s="5">
        <v>145.5</v>
      </c>
      <c r="AB210" s="5">
        <v>130.4</v>
      </c>
      <c r="AC210" s="5">
        <v>132.5</v>
      </c>
      <c r="AD210" s="5">
        <v>138.9</v>
      </c>
    </row>
    <row r="211" spans="1:30" x14ac:dyDescent="0.3">
      <c r="A211" t="s">
        <v>34</v>
      </c>
      <c r="B211" s="3">
        <v>2018</v>
      </c>
      <c r="C211" t="s">
        <v>43</v>
      </c>
      <c r="D211" s="5">
        <v>137.4</v>
      </c>
      <c r="E211" s="5">
        <v>149.5</v>
      </c>
      <c r="F211" s="5">
        <v>137.30000000000001</v>
      </c>
      <c r="G211" s="5">
        <v>141.9</v>
      </c>
      <c r="H211" s="5">
        <v>121.1</v>
      </c>
      <c r="I211" s="5">
        <v>142.5</v>
      </c>
      <c r="J211" s="5">
        <v>146.69999999999999</v>
      </c>
      <c r="K211" s="5">
        <v>119.1</v>
      </c>
      <c r="L211" s="5">
        <v>111.9</v>
      </c>
      <c r="M211" s="5">
        <v>141</v>
      </c>
      <c r="N211" s="5">
        <v>133.6</v>
      </c>
      <c r="O211" s="5">
        <v>154.5</v>
      </c>
      <c r="P211" s="5">
        <v>139.69999999999999</v>
      </c>
      <c r="Q211" s="5">
        <v>162.6</v>
      </c>
      <c r="R211" s="5">
        <v>148</v>
      </c>
      <c r="S211" s="5">
        <v>139.19999999999999</v>
      </c>
      <c r="T211" s="5">
        <v>146.80000000000001</v>
      </c>
      <c r="U211" s="5">
        <v>146.9</v>
      </c>
      <c r="V211" s="5">
        <v>145.30000000000001</v>
      </c>
      <c r="W211" s="5">
        <v>142.19999999999999</v>
      </c>
      <c r="X211" s="5">
        <v>142.1</v>
      </c>
      <c r="Y211" s="5">
        <v>125.5</v>
      </c>
      <c r="Z211" s="5">
        <v>136.5</v>
      </c>
      <c r="AA211" s="5">
        <v>147.80000000000001</v>
      </c>
      <c r="AB211" s="5">
        <v>132</v>
      </c>
      <c r="AC211" s="5">
        <v>136.30000000000001</v>
      </c>
      <c r="AD211" s="5">
        <v>140.80000000000001</v>
      </c>
    </row>
    <row r="212" spans="1:30" x14ac:dyDescent="0.3">
      <c r="A212" t="s">
        <v>30</v>
      </c>
      <c r="B212" s="3">
        <v>2018</v>
      </c>
      <c r="C212" t="s">
        <v>45</v>
      </c>
      <c r="D212" s="5">
        <v>137.1</v>
      </c>
      <c r="E212" s="5">
        <v>150.80000000000001</v>
      </c>
      <c r="F212" s="5">
        <v>136.69999999999999</v>
      </c>
      <c r="G212" s="5">
        <v>141.9</v>
      </c>
      <c r="H212" s="5">
        <v>122.8</v>
      </c>
      <c r="I212" s="5">
        <v>143.9</v>
      </c>
      <c r="J212" s="5">
        <v>147.5</v>
      </c>
      <c r="K212" s="5">
        <v>121</v>
      </c>
      <c r="L212" s="5">
        <v>111.6</v>
      </c>
      <c r="M212" s="5">
        <v>140.6</v>
      </c>
      <c r="N212" s="5">
        <v>137.5</v>
      </c>
      <c r="O212" s="5">
        <v>156.1</v>
      </c>
      <c r="P212" s="5">
        <v>140</v>
      </c>
      <c r="Q212" s="5">
        <v>161.9</v>
      </c>
      <c r="R212" s="5">
        <v>151.69999999999999</v>
      </c>
      <c r="S212" s="5">
        <v>145.5</v>
      </c>
      <c r="T212" s="5">
        <v>150.80000000000001</v>
      </c>
      <c r="U212" s="5" t="s">
        <v>32</v>
      </c>
      <c r="V212" s="5">
        <v>150.30000000000001</v>
      </c>
      <c r="W212" s="5">
        <v>148</v>
      </c>
      <c r="X212" s="5">
        <v>145.4</v>
      </c>
      <c r="Y212" s="5">
        <v>130.30000000000001</v>
      </c>
      <c r="Z212" s="5">
        <v>143.1</v>
      </c>
      <c r="AA212" s="5">
        <v>150.19999999999999</v>
      </c>
      <c r="AB212" s="5">
        <v>133.1</v>
      </c>
      <c r="AC212" s="5">
        <v>140.1</v>
      </c>
      <c r="AD212" s="5">
        <v>142.4</v>
      </c>
    </row>
    <row r="213" spans="1:30" x14ac:dyDescent="0.3">
      <c r="A213" t="s">
        <v>33</v>
      </c>
      <c r="B213" s="3">
        <v>2018</v>
      </c>
      <c r="C213" t="s">
        <v>45</v>
      </c>
      <c r="D213" s="5">
        <v>138.1</v>
      </c>
      <c r="E213" s="5">
        <v>146.30000000000001</v>
      </c>
      <c r="F213" s="5">
        <v>137.80000000000001</v>
      </c>
      <c r="G213" s="5">
        <v>141.6</v>
      </c>
      <c r="H213" s="5">
        <v>118.1</v>
      </c>
      <c r="I213" s="5">
        <v>141.5</v>
      </c>
      <c r="J213" s="5">
        <v>145.19999999999999</v>
      </c>
      <c r="K213" s="5">
        <v>115.3</v>
      </c>
      <c r="L213" s="5">
        <v>112.5</v>
      </c>
      <c r="M213" s="5">
        <v>141.4</v>
      </c>
      <c r="N213" s="5">
        <v>128</v>
      </c>
      <c r="O213" s="5">
        <v>152.6</v>
      </c>
      <c r="P213" s="5">
        <v>139.1</v>
      </c>
      <c r="Q213" s="5">
        <v>164.4</v>
      </c>
      <c r="R213" s="5">
        <v>142.4</v>
      </c>
      <c r="S213" s="5">
        <v>130.19999999999999</v>
      </c>
      <c r="T213" s="5">
        <v>140.5</v>
      </c>
      <c r="U213" s="5">
        <v>146.9</v>
      </c>
      <c r="V213" s="5">
        <v>136.69999999999999</v>
      </c>
      <c r="W213" s="5">
        <v>135.80000000000001</v>
      </c>
      <c r="X213" s="5">
        <v>136.80000000000001</v>
      </c>
      <c r="Y213" s="5">
        <v>121.2</v>
      </c>
      <c r="Z213" s="5">
        <v>131.30000000000001</v>
      </c>
      <c r="AA213" s="5">
        <v>146.1</v>
      </c>
      <c r="AB213" s="5">
        <v>130.5</v>
      </c>
      <c r="AC213" s="5">
        <v>132.19999999999999</v>
      </c>
      <c r="AD213" s="5">
        <v>139</v>
      </c>
    </row>
    <row r="214" spans="1:30" x14ac:dyDescent="0.3">
      <c r="A214" t="s">
        <v>34</v>
      </c>
      <c r="B214" s="3">
        <v>2018</v>
      </c>
      <c r="C214" t="s">
        <v>45</v>
      </c>
      <c r="D214" s="5">
        <v>137.4</v>
      </c>
      <c r="E214" s="5">
        <v>149.19999999999999</v>
      </c>
      <c r="F214" s="5">
        <v>137.1</v>
      </c>
      <c r="G214" s="5">
        <v>141.80000000000001</v>
      </c>
      <c r="H214" s="5">
        <v>121.1</v>
      </c>
      <c r="I214" s="5">
        <v>142.80000000000001</v>
      </c>
      <c r="J214" s="5">
        <v>146.69999999999999</v>
      </c>
      <c r="K214" s="5">
        <v>119.1</v>
      </c>
      <c r="L214" s="5">
        <v>111.9</v>
      </c>
      <c r="M214" s="5">
        <v>140.9</v>
      </c>
      <c r="N214" s="5">
        <v>133.5</v>
      </c>
      <c r="O214" s="5">
        <v>154.5</v>
      </c>
      <c r="P214" s="5">
        <v>139.69999999999999</v>
      </c>
      <c r="Q214" s="5">
        <v>162.6</v>
      </c>
      <c r="R214" s="5">
        <v>148</v>
      </c>
      <c r="S214" s="5">
        <v>139.1</v>
      </c>
      <c r="T214" s="5">
        <v>146.69999999999999</v>
      </c>
      <c r="U214" s="5">
        <v>146.9</v>
      </c>
      <c r="V214" s="5">
        <v>145.1</v>
      </c>
      <c r="W214" s="5">
        <v>142.19999999999999</v>
      </c>
      <c r="X214" s="5">
        <v>142.1</v>
      </c>
      <c r="Y214" s="5">
        <v>125.5</v>
      </c>
      <c r="Z214" s="5">
        <v>136.5</v>
      </c>
      <c r="AA214" s="5">
        <v>147.80000000000001</v>
      </c>
      <c r="AB214" s="5">
        <v>132</v>
      </c>
      <c r="AC214" s="5">
        <v>136.30000000000001</v>
      </c>
      <c r="AD214" s="5">
        <v>140.80000000000001</v>
      </c>
    </row>
    <row r="215" spans="1:30" x14ac:dyDescent="0.3">
      <c r="A215" t="s">
        <v>30</v>
      </c>
      <c r="B215" s="3">
        <v>2018</v>
      </c>
      <c r="C215" t="s">
        <v>46</v>
      </c>
      <c r="D215" s="5">
        <v>137.1</v>
      </c>
      <c r="E215" s="5">
        <v>151.9</v>
      </c>
      <c r="F215" s="5">
        <v>137.4</v>
      </c>
      <c r="G215" s="5">
        <v>142.4</v>
      </c>
      <c r="H215" s="5">
        <v>124.2</v>
      </c>
      <c r="I215" s="5">
        <v>140.19999999999999</v>
      </c>
      <c r="J215" s="5">
        <v>136.6</v>
      </c>
      <c r="K215" s="5">
        <v>120.9</v>
      </c>
      <c r="L215" s="5">
        <v>109.9</v>
      </c>
      <c r="M215" s="5">
        <v>140.19999999999999</v>
      </c>
      <c r="N215" s="5">
        <v>137.80000000000001</v>
      </c>
      <c r="O215" s="5">
        <v>156</v>
      </c>
      <c r="P215" s="5">
        <v>138.5</v>
      </c>
      <c r="Q215" s="5">
        <v>162.4</v>
      </c>
      <c r="R215" s="5">
        <v>151.6</v>
      </c>
      <c r="S215" s="5">
        <v>145.9</v>
      </c>
      <c r="T215" s="5">
        <v>150.80000000000001</v>
      </c>
      <c r="U215" s="5" t="s">
        <v>32</v>
      </c>
      <c r="V215" s="5">
        <v>149</v>
      </c>
      <c r="W215" s="5">
        <v>149.5</v>
      </c>
      <c r="X215" s="5">
        <v>149.6</v>
      </c>
      <c r="Y215" s="5">
        <v>128.9</v>
      </c>
      <c r="Z215" s="5">
        <v>143.30000000000001</v>
      </c>
      <c r="AA215" s="5">
        <v>155.1</v>
      </c>
      <c r="AB215" s="5">
        <v>133.19999999999999</v>
      </c>
      <c r="AC215" s="5">
        <v>141.6</v>
      </c>
      <c r="AD215" s="5">
        <v>141.9</v>
      </c>
    </row>
    <row r="216" spans="1:30" x14ac:dyDescent="0.3">
      <c r="A216" t="s">
        <v>33</v>
      </c>
      <c r="B216" s="3">
        <v>2018</v>
      </c>
      <c r="C216" t="s">
        <v>46</v>
      </c>
      <c r="D216" s="5">
        <v>138.5</v>
      </c>
      <c r="E216" s="5">
        <v>147.80000000000001</v>
      </c>
      <c r="F216" s="5">
        <v>141.1</v>
      </c>
      <c r="G216" s="5">
        <v>141.6</v>
      </c>
      <c r="H216" s="5">
        <v>118.1</v>
      </c>
      <c r="I216" s="5">
        <v>138.5</v>
      </c>
      <c r="J216" s="5">
        <v>132.4</v>
      </c>
      <c r="K216" s="5">
        <v>117.5</v>
      </c>
      <c r="L216" s="5">
        <v>111</v>
      </c>
      <c r="M216" s="5">
        <v>141.5</v>
      </c>
      <c r="N216" s="5">
        <v>128.1</v>
      </c>
      <c r="O216" s="5">
        <v>152.9</v>
      </c>
      <c r="P216" s="5">
        <v>137.6</v>
      </c>
      <c r="Q216" s="5">
        <v>164.6</v>
      </c>
      <c r="R216" s="5">
        <v>142.69999999999999</v>
      </c>
      <c r="S216" s="5">
        <v>130.30000000000001</v>
      </c>
      <c r="T216" s="5">
        <v>140.80000000000001</v>
      </c>
      <c r="U216" s="5">
        <v>146.5</v>
      </c>
      <c r="V216" s="5">
        <v>132.4</v>
      </c>
      <c r="W216" s="5">
        <v>136.19999999999999</v>
      </c>
      <c r="X216" s="5">
        <v>137.30000000000001</v>
      </c>
      <c r="Y216" s="5">
        <v>118.8</v>
      </c>
      <c r="Z216" s="5">
        <v>131.69999999999999</v>
      </c>
      <c r="AA216" s="5">
        <v>146.5</v>
      </c>
      <c r="AB216" s="5">
        <v>130.80000000000001</v>
      </c>
      <c r="AC216" s="5">
        <v>131.69999999999999</v>
      </c>
      <c r="AD216" s="5">
        <v>138</v>
      </c>
    </row>
    <row r="217" spans="1:30" x14ac:dyDescent="0.3">
      <c r="A217" t="s">
        <v>34</v>
      </c>
      <c r="B217" s="3">
        <v>2018</v>
      </c>
      <c r="C217" t="s">
        <v>46</v>
      </c>
      <c r="D217" s="5">
        <v>137.5</v>
      </c>
      <c r="E217" s="5">
        <v>150.5</v>
      </c>
      <c r="F217" s="5">
        <v>138.80000000000001</v>
      </c>
      <c r="G217" s="5">
        <v>142.1</v>
      </c>
      <c r="H217" s="5">
        <v>122</v>
      </c>
      <c r="I217" s="5">
        <v>139.4</v>
      </c>
      <c r="J217" s="5">
        <v>135.19999999999999</v>
      </c>
      <c r="K217" s="5">
        <v>119.8</v>
      </c>
      <c r="L217" s="5">
        <v>110.3</v>
      </c>
      <c r="M217" s="5">
        <v>140.6</v>
      </c>
      <c r="N217" s="5">
        <v>133.80000000000001</v>
      </c>
      <c r="O217" s="5">
        <v>154.6</v>
      </c>
      <c r="P217" s="5">
        <v>138.19999999999999</v>
      </c>
      <c r="Q217" s="5">
        <v>163</v>
      </c>
      <c r="R217" s="5">
        <v>148.1</v>
      </c>
      <c r="S217" s="5">
        <v>139.4</v>
      </c>
      <c r="T217" s="5">
        <v>146.80000000000001</v>
      </c>
      <c r="U217" s="5">
        <v>146.5</v>
      </c>
      <c r="V217" s="5">
        <v>142.69999999999999</v>
      </c>
      <c r="W217" s="5">
        <v>143.19999999999999</v>
      </c>
      <c r="X217" s="5">
        <v>144.9</v>
      </c>
      <c r="Y217" s="5">
        <v>123.6</v>
      </c>
      <c r="Z217" s="5">
        <v>136.80000000000001</v>
      </c>
      <c r="AA217" s="5">
        <v>150.1</v>
      </c>
      <c r="AB217" s="5">
        <v>132.19999999999999</v>
      </c>
      <c r="AC217" s="5">
        <v>136.80000000000001</v>
      </c>
      <c r="AD217" s="5">
        <v>140.1</v>
      </c>
    </row>
    <row r="218" spans="1:30" x14ac:dyDescent="0.3">
      <c r="A218" t="s">
        <v>30</v>
      </c>
      <c r="B218" s="3">
        <v>2019</v>
      </c>
      <c r="C218" t="s">
        <v>31</v>
      </c>
      <c r="D218" s="5">
        <v>136.6</v>
      </c>
      <c r="E218" s="5">
        <v>152.5</v>
      </c>
      <c r="F218" s="5">
        <v>138.19999999999999</v>
      </c>
      <c r="G218" s="5">
        <v>142.4</v>
      </c>
      <c r="H218" s="5">
        <v>123.9</v>
      </c>
      <c r="I218" s="5">
        <v>135.5</v>
      </c>
      <c r="J218" s="5">
        <v>131.69999999999999</v>
      </c>
      <c r="K218" s="5">
        <v>121.3</v>
      </c>
      <c r="L218" s="5">
        <v>108.4</v>
      </c>
      <c r="M218" s="5">
        <v>138.9</v>
      </c>
      <c r="N218" s="5">
        <v>137</v>
      </c>
      <c r="O218" s="5">
        <v>155.80000000000001</v>
      </c>
      <c r="P218" s="5">
        <v>137.4</v>
      </c>
      <c r="Q218" s="5">
        <v>162.69999999999999</v>
      </c>
      <c r="R218" s="5">
        <v>150.6</v>
      </c>
      <c r="S218" s="5">
        <v>145.1</v>
      </c>
      <c r="T218" s="5">
        <v>149.9</v>
      </c>
      <c r="U218" s="5" t="s">
        <v>32</v>
      </c>
      <c r="V218" s="5">
        <v>146.19999999999999</v>
      </c>
      <c r="W218" s="5">
        <v>150.1</v>
      </c>
      <c r="X218" s="5">
        <v>149.6</v>
      </c>
      <c r="Y218" s="5">
        <v>128.6</v>
      </c>
      <c r="Z218" s="5">
        <v>142.9</v>
      </c>
      <c r="AA218" s="5">
        <v>155.19999999999999</v>
      </c>
      <c r="AB218" s="5">
        <v>133.5</v>
      </c>
      <c r="AC218" s="5">
        <v>141.69999999999999</v>
      </c>
      <c r="AD218" s="5">
        <v>141</v>
      </c>
    </row>
    <row r="219" spans="1:30" x14ac:dyDescent="0.3">
      <c r="A219" t="s">
        <v>33</v>
      </c>
      <c r="B219" s="3">
        <v>2019</v>
      </c>
      <c r="C219" t="s">
        <v>31</v>
      </c>
      <c r="D219" s="5">
        <v>138.30000000000001</v>
      </c>
      <c r="E219" s="5">
        <v>149.4</v>
      </c>
      <c r="F219" s="5">
        <v>143.5</v>
      </c>
      <c r="G219" s="5">
        <v>141.69999999999999</v>
      </c>
      <c r="H219" s="5">
        <v>118.1</v>
      </c>
      <c r="I219" s="5">
        <v>135.19999999999999</v>
      </c>
      <c r="J219" s="5">
        <v>130.5</v>
      </c>
      <c r="K219" s="5">
        <v>118.2</v>
      </c>
      <c r="L219" s="5">
        <v>110.4</v>
      </c>
      <c r="M219" s="5">
        <v>140.4</v>
      </c>
      <c r="N219" s="5">
        <v>128.1</v>
      </c>
      <c r="O219" s="5">
        <v>153.19999999999999</v>
      </c>
      <c r="P219" s="5">
        <v>137.30000000000001</v>
      </c>
      <c r="Q219" s="5">
        <v>164.7</v>
      </c>
      <c r="R219" s="5">
        <v>143</v>
      </c>
      <c r="S219" s="5">
        <v>130.4</v>
      </c>
      <c r="T219" s="5">
        <v>141.1</v>
      </c>
      <c r="U219" s="5">
        <v>147.69999999999999</v>
      </c>
      <c r="V219" s="5">
        <v>128.6</v>
      </c>
      <c r="W219" s="5">
        <v>136.30000000000001</v>
      </c>
      <c r="X219" s="5">
        <v>137.80000000000001</v>
      </c>
      <c r="Y219" s="5">
        <v>118.6</v>
      </c>
      <c r="Z219" s="5">
        <v>131.9</v>
      </c>
      <c r="AA219" s="5">
        <v>146.6</v>
      </c>
      <c r="AB219" s="5">
        <v>131.69999999999999</v>
      </c>
      <c r="AC219" s="5">
        <v>131.80000000000001</v>
      </c>
      <c r="AD219" s="5">
        <v>138</v>
      </c>
    </row>
    <row r="220" spans="1:30" x14ac:dyDescent="0.3">
      <c r="A220" t="s">
        <v>34</v>
      </c>
      <c r="B220" s="3">
        <v>2019</v>
      </c>
      <c r="C220" t="s">
        <v>31</v>
      </c>
      <c r="D220" s="5">
        <v>137.1</v>
      </c>
      <c r="E220" s="5">
        <v>151.4</v>
      </c>
      <c r="F220" s="5">
        <v>140.19999999999999</v>
      </c>
      <c r="G220" s="5">
        <v>142.1</v>
      </c>
      <c r="H220" s="5">
        <v>121.8</v>
      </c>
      <c r="I220" s="5">
        <v>135.4</v>
      </c>
      <c r="J220" s="5">
        <v>131.30000000000001</v>
      </c>
      <c r="K220" s="5">
        <v>120.3</v>
      </c>
      <c r="L220" s="5">
        <v>109.1</v>
      </c>
      <c r="M220" s="5">
        <v>139.4</v>
      </c>
      <c r="N220" s="5">
        <v>133.30000000000001</v>
      </c>
      <c r="O220" s="5">
        <v>154.6</v>
      </c>
      <c r="P220" s="5">
        <v>137.4</v>
      </c>
      <c r="Q220" s="5">
        <v>163.19999999999999</v>
      </c>
      <c r="R220" s="5">
        <v>147.6</v>
      </c>
      <c r="S220" s="5">
        <v>139</v>
      </c>
      <c r="T220" s="5">
        <v>146.4</v>
      </c>
      <c r="U220" s="5">
        <v>147.69999999999999</v>
      </c>
      <c r="V220" s="5">
        <v>139.5</v>
      </c>
      <c r="W220" s="5">
        <v>143.6</v>
      </c>
      <c r="X220" s="5">
        <v>145.1</v>
      </c>
      <c r="Y220" s="5">
        <v>123.3</v>
      </c>
      <c r="Z220" s="5">
        <v>136.69999999999999</v>
      </c>
      <c r="AA220" s="5">
        <v>150.19999999999999</v>
      </c>
      <c r="AB220" s="5">
        <v>132.80000000000001</v>
      </c>
      <c r="AC220" s="5">
        <v>136.9</v>
      </c>
      <c r="AD220" s="5">
        <v>139.6</v>
      </c>
    </row>
    <row r="221" spans="1:30" x14ac:dyDescent="0.3">
      <c r="A221" t="s">
        <v>30</v>
      </c>
      <c r="B221" s="3">
        <v>2019</v>
      </c>
      <c r="C221" t="s">
        <v>35</v>
      </c>
      <c r="D221" s="5">
        <v>136.80000000000001</v>
      </c>
      <c r="E221" s="5">
        <v>153</v>
      </c>
      <c r="F221" s="5">
        <v>139.1</v>
      </c>
      <c r="G221" s="5">
        <v>142.5</v>
      </c>
      <c r="H221" s="5">
        <v>124.1</v>
      </c>
      <c r="I221" s="5">
        <v>135.80000000000001</v>
      </c>
      <c r="J221" s="5">
        <v>128.69999999999999</v>
      </c>
      <c r="K221" s="5">
        <v>121.5</v>
      </c>
      <c r="L221" s="5">
        <v>108.3</v>
      </c>
      <c r="M221" s="5">
        <v>139.19999999999999</v>
      </c>
      <c r="N221" s="5">
        <v>137.4</v>
      </c>
      <c r="O221" s="5">
        <v>156.19999999999999</v>
      </c>
      <c r="P221" s="5">
        <v>137.19999999999999</v>
      </c>
      <c r="Q221" s="5">
        <v>162.80000000000001</v>
      </c>
      <c r="R221" s="5">
        <v>150.5</v>
      </c>
      <c r="S221" s="5">
        <v>146.1</v>
      </c>
      <c r="T221" s="5">
        <v>149.9</v>
      </c>
      <c r="U221" s="5" t="s">
        <v>32</v>
      </c>
      <c r="V221" s="5">
        <v>145.30000000000001</v>
      </c>
      <c r="W221" s="5">
        <v>150.1</v>
      </c>
      <c r="X221" s="5">
        <v>149.9</v>
      </c>
      <c r="Y221" s="5">
        <v>129.19999999999999</v>
      </c>
      <c r="Z221" s="5">
        <v>143.4</v>
      </c>
      <c r="AA221" s="5">
        <v>155.5</v>
      </c>
      <c r="AB221" s="5">
        <v>134.9</v>
      </c>
      <c r="AC221" s="5">
        <v>142.19999999999999</v>
      </c>
      <c r="AD221" s="5">
        <v>141</v>
      </c>
    </row>
    <row r="222" spans="1:30" x14ac:dyDescent="0.3">
      <c r="A222" t="s">
        <v>33</v>
      </c>
      <c r="B222" s="3">
        <v>2019</v>
      </c>
      <c r="C222" t="s">
        <v>35</v>
      </c>
      <c r="D222" s="5">
        <v>139.4</v>
      </c>
      <c r="E222" s="5">
        <v>150.1</v>
      </c>
      <c r="F222" s="5">
        <v>145.30000000000001</v>
      </c>
      <c r="G222" s="5">
        <v>141.69999999999999</v>
      </c>
      <c r="H222" s="5">
        <v>118.4</v>
      </c>
      <c r="I222" s="5">
        <v>137</v>
      </c>
      <c r="J222" s="5">
        <v>131.6</v>
      </c>
      <c r="K222" s="5">
        <v>119.9</v>
      </c>
      <c r="L222" s="5">
        <v>110.4</v>
      </c>
      <c r="M222" s="5">
        <v>140.80000000000001</v>
      </c>
      <c r="N222" s="5">
        <v>128.30000000000001</v>
      </c>
      <c r="O222" s="5">
        <v>153.5</v>
      </c>
      <c r="P222" s="5">
        <v>138</v>
      </c>
      <c r="Q222" s="5">
        <v>164.9</v>
      </c>
      <c r="R222" s="5">
        <v>143.30000000000001</v>
      </c>
      <c r="S222" s="5">
        <v>130.80000000000001</v>
      </c>
      <c r="T222" s="5">
        <v>141.4</v>
      </c>
      <c r="U222" s="5">
        <v>148.5</v>
      </c>
      <c r="V222" s="5">
        <v>127.1</v>
      </c>
      <c r="W222" s="5">
        <v>136.6</v>
      </c>
      <c r="X222" s="5">
        <v>138.5</v>
      </c>
      <c r="Y222" s="5">
        <v>119.2</v>
      </c>
      <c r="Z222" s="5">
        <v>132.19999999999999</v>
      </c>
      <c r="AA222" s="5">
        <v>146.6</v>
      </c>
      <c r="AB222" s="5">
        <v>133</v>
      </c>
      <c r="AC222" s="5">
        <v>132.4</v>
      </c>
      <c r="AD222" s="5">
        <v>138.6</v>
      </c>
    </row>
    <row r="223" spans="1:30" x14ac:dyDescent="0.3">
      <c r="A223" t="s">
        <v>34</v>
      </c>
      <c r="B223" s="3">
        <v>2019</v>
      </c>
      <c r="C223" t="s">
        <v>35</v>
      </c>
      <c r="D223" s="5">
        <v>137.6</v>
      </c>
      <c r="E223" s="5">
        <v>152</v>
      </c>
      <c r="F223" s="5">
        <v>141.5</v>
      </c>
      <c r="G223" s="5">
        <v>142.19999999999999</v>
      </c>
      <c r="H223" s="5">
        <v>122</v>
      </c>
      <c r="I223" s="5">
        <v>136.4</v>
      </c>
      <c r="J223" s="5">
        <v>129.69999999999999</v>
      </c>
      <c r="K223" s="5">
        <v>121</v>
      </c>
      <c r="L223" s="5">
        <v>109</v>
      </c>
      <c r="M223" s="5">
        <v>139.69999999999999</v>
      </c>
      <c r="N223" s="5">
        <v>133.6</v>
      </c>
      <c r="O223" s="5">
        <v>154.9</v>
      </c>
      <c r="P223" s="5">
        <v>137.5</v>
      </c>
      <c r="Q223" s="5">
        <v>163.4</v>
      </c>
      <c r="R223" s="5">
        <v>147.69999999999999</v>
      </c>
      <c r="S223" s="5">
        <v>139.69999999999999</v>
      </c>
      <c r="T223" s="5">
        <v>146.5</v>
      </c>
      <c r="U223" s="5">
        <v>148.5</v>
      </c>
      <c r="V223" s="5">
        <v>138.4</v>
      </c>
      <c r="W223" s="5">
        <v>143.69999999999999</v>
      </c>
      <c r="X223" s="5">
        <v>145.6</v>
      </c>
      <c r="Y223" s="5">
        <v>123.9</v>
      </c>
      <c r="Z223" s="5">
        <v>137.1</v>
      </c>
      <c r="AA223" s="5">
        <v>150.30000000000001</v>
      </c>
      <c r="AB223" s="5">
        <v>134.1</v>
      </c>
      <c r="AC223" s="5">
        <v>137.4</v>
      </c>
      <c r="AD223" s="5">
        <v>139.9</v>
      </c>
    </row>
    <row r="224" spans="1:30" x14ac:dyDescent="0.3">
      <c r="A224" t="s">
        <v>30</v>
      </c>
      <c r="B224" s="3">
        <v>2019</v>
      </c>
      <c r="C224" t="s">
        <v>36</v>
      </c>
      <c r="D224" s="5">
        <v>136.9</v>
      </c>
      <c r="E224" s="5">
        <v>154.1</v>
      </c>
      <c r="F224" s="5">
        <v>138.69999999999999</v>
      </c>
      <c r="G224" s="5">
        <v>142.5</v>
      </c>
      <c r="H224" s="5">
        <v>124.1</v>
      </c>
      <c r="I224" s="5">
        <v>136.1</v>
      </c>
      <c r="J224" s="5">
        <v>128.19999999999999</v>
      </c>
      <c r="K224" s="5">
        <v>122.3</v>
      </c>
      <c r="L224" s="5">
        <v>108.3</v>
      </c>
      <c r="M224" s="5">
        <v>138.9</v>
      </c>
      <c r="N224" s="5">
        <v>137.4</v>
      </c>
      <c r="O224" s="5">
        <v>156.4</v>
      </c>
      <c r="P224" s="5">
        <v>137.30000000000001</v>
      </c>
      <c r="Q224" s="5">
        <v>162.9</v>
      </c>
      <c r="R224" s="5">
        <v>150.80000000000001</v>
      </c>
      <c r="S224" s="5">
        <v>146.1</v>
      </c>
      <c r="T224" s="5">
        <v>150.1</v>
      </c>
      <c r="U224" s="5" t="s">
        <v>32</v>
      </c>
      <c r="V224" s="5">
        <v>146.4</v>
      </c>
      <c r="W224" s="5">
        <v>150</v>
      </c>
      <c r="X224" s="5">
        <v>150.4</v>
      </c>
      <c r="Y224" s="5">
        <v>129.9</v>
      </c>
      <c r="Z224" s="5">
        <v>143.80000000000001</v>
      </c>
      <c r="AA224" s="5">
        <v>155.5</v>
      </c>
      <c r="AB224" s="5">
        <v>134</v>
      </c>
      <c r="AC224" s="5">
        <v>142.4</v>
      </c>
      <c r="AD224" s="5">
        <v>141.19999999999999</v>
      </c>
    </row>
    <row r="225" spans="1:30" x14ac:dyDescent="0.3">
      <c r="A225" t="s">
        <v>33</v>
      </c>
      <c r="B225" s="3">
        <v>2019</v>
      </c>
      <c r="C225" t="s">
        <v>36</v>
      </c>
      <c r="D225" s="5">
        <v>139.69999999999999</v>
      </c>
      <c r="E225" s="5">
        <v>151.1</v>
      </c>
      <c r="F225" s="5">
        <v>142.9</v>
      </c>
      <c r="G225" s="5">
        <v>141.9</v>
      </c>
      <c r="H225" s="5">
        <v>118.4</v>
      </c>
      <c r="I225" s="5">
        <v>139.4</v>
      </c>
      <c r="J225" s="5">
        <v>141.19999999999999</v>
      </c>
      <c r="K225" s="5">
        <v>120.7</v>
      </c>
      <c r="L225" s="5">
        <v>110.4</v>
      </c>
      <c r="M225" s="5">
        <v>140.69999999999999</v>
      </c>
      <c r="N225" s="5">
        <v>128.5</v>
      </c>
      <c r="O225" s="5">
        <v>153.9</v>
      </c>
      <c r="P225" s="5">
        <v>139.6</v>
      </c>
      <c r="Q225" s="5">
        <v>165.3</v>
      </c>
      <c r="R225" s="5">
        <v>143.5</v>
      </c>
      <c r="S225" s="5">
        <v>131.19999999999999</v>
      </c>
      <c r="T225" s="5">
        <v>141.6</v>
      </c>
      <c r="U225" s="5">
        <v>149</v>
      </c>
      <c r="V225" s="5">
        <v>128.80000000000001</v>
      </c>
      <c r="W225" s="5">
        <v>136.80000000000001</v>
      </c>
      <c r="X225" s="5">
        <v>139.19999999999999</v>
      </c>
      <c r="Y225" s="5">
        <v>119.9</v>
      </c>
      <c r="Z225" s="5">
        <v>133</v>
      </c>
      <c r="AA225" s="5">
        <v>146.69999999999999</v>
      </c>
      <c r="AB225" s="5">
        <v>132.5</v>
      </c>
      <c r="AC225" s="5">
        <v>132.80000000000001</v>
      </c>
      <c r="AD225" s="5">
        <v>139.5</v>
      </c>
    </row>
    <row r="226" spans="1:30" x14ac:dyDescent="0.3">
      <c r="A226" t="s">
        <v>34</v>
      </c>
      <c r="B226" s="3">
        <v>2019</v>
      </c>
      <c r="C226" t="s">
        <v>36</v>
      </c>
      <c r="D226" s="5">
        <v>137.80000000000001</v>
      </c>
      <c r="E226" s="5">
        <v>153</v>
      </c>
      <c r="F226" s="5">
        <v>140.30000000000001</v>
      </c>
      <c r="G226" s="5">
        <v>142.30000000000001</v>
      </c>
      <c r="H226" s="5">
        <v>122</v>
      </c>
      <c r="I226" s="5">
        <v>137.6</v>
      </c>
      <c r="J226" s="5">
        <v>132.6</v>
      </c>
      <c r="K226" s="5">
        <v>121.8</v>
      </c>
      <c r="L226" s="5">
        <v>109</v>
      </c>
      <c r="M226" s="5">
        <v>139.5</v>
      </c>
      <c r="N226" s="5">
        <v>133.69999999999999</v>
      </c>
      <c r="O226" s="5">
        <v>155.19999999999999</v>
      </c>
      <c r="P226" s="5">
        <v>138.1</v>
      </c>
      <c r="Q226" s="5">
        <v>163.5</v>
      </c>
      <c r="R226" s="5">
        <v>147.9</v>
      </c>
      <c r="S226" s="5">
        <v>139.9</v>
      </c>
      <c r="T226" s="5">
        <v>146.69999999999999</v>
      </c>
      <c r="U226" s="5">
        <v>149</v>
      </c>
      <c r="V226" s="5">
        <v>139.69999999999999</v>
      </c>
      <c r="W226" s="5">
        <v>143.80000000000001</v>
      </c>
      <c r="X226" s="5">
        <v>146.19999999999999</v>
      </c>
      <c r="Y226" s="5">
        <v>124.6</v>
      </c>
      <c r="Z226" s="5">
        <v>137.69999999999999</v>
      </c>
      <c r="AA226" s="5">
        <v>150.30000000000001</v>
      </c>
      <c r="AB226" s="5">
        <v>133.4</v>
      </c>
      <c r="AC226" s="5">
        <v>137.69999999999999</v>
      </c>
      <c r="AD226" s="5">
        <v>140.4</v>
      </c>
    </row>
    <row r="227" spans="1:30" x14ac:dyDescent="0.3">
      <c r="A227" t="s">
        <v>30</v>
      </c>
      <c r="B227" s="3">
        <v>2019</v>
      </c>
      <c r="C227" t="s">
        <v>38</v>
      </c>
      <c r="D227" s="5">
        <v>137.4</v>
      </c>
      <c r="E227" s="5">
        <v>159.5</v>
      </c>
      <c r="F227" s="5">
        <v>134.5</v>
      </c>
      <c r="G227" s="5">
        <v>142.6</v>
      </c>
      <c r="H227" s="5">
        <v>124</v>
      </c>
      <c r="I227" s="5">
        <v>143.69999999999999</v>
      </c>
      <c r="J227" s="5">
        <v>133.4</v>
      </c>
      <c r="K227" s="5">
        <v>125.1</v>
      </c>
      <c r="L227" s="5">
        <v>109.3</v>
      </c>
      <c r="M227" s="5">
        <v>139.30000000000001</v>
      </c>
      <c r="N227" s="5">
        <v>137.69999999999999</v>
      </c>
      <c r="O227" s="5">
        <v>156.4</v>
      </c>
      <c r="P227" s="5">
        <v>139.19999999999999</v>
      </c>
      <c r="Q227" s="5">
        <v>163.30000000000001</v>
      </c>
      <c r="R227" s="5">
        <v>151.30000000000001</v>
      </c>
      <c r="S227" s="5">
        <v>146.6</v>
      </c>
      <c r="T227" s="5">
        <v>150.69999999999999</v>
      </c>
      <c r="U227" s="5" t="s">
        <v>32</v>
      </c>
      <c r="V227" s="5">
        <v>146.9</v>
      </c>
      <c r="W227" s="5">
        <v>149.5</v>
      </c>
      <c r="X227" s="5">
        <v>151.30000000000001</v>
      </c>
      <c r="Y227" s="5">
        <v>130.19999999999999</v>
      </c>
      <c r="Z227" s="5">
        <v>145.9</v>
      </c>
      <c r="AA227" s="5">
        <v>156.69999999999999</v>
      </c>
      <c r="AB227" s="5">
        <v>133.9</v>
      </c>
      <c r="AC227" s="5">
        <v>142.9</v>
      </c>
      <c r="AD227" s="5">
        <v>142.4</v>
      </c>
    </row>
    <row r="228" spans="1:30" x14ac:dyDescent="0.3">
      <c r="A228" t="s">
        <v>33</v>
      </c>
      <c r="B228" s="3">
        <v>2019</v>
      </c>
      <c r="C228" t="s">
        <v>38</v>
      </c>
      <c r="D228" s="5">
        <v>140.4</v>
      </c>
      <c r="E228" s="5">
        <v>156.69999999999999</v>
      </c>
      <c r="F228" s="5">
        <v>138.30000000000001</v>
      </c>
      <c r="G228" s="5">
        <v>142.4</v>
      </c>
      <c r="H228" s="5">
        <v>118.6</v>
      </c>
      <c r="I228" s="5">
        <v>149.69999999999999</v>
      </c>
      <c r="J228" s="5">
        <v>161.6</v>
      </c>
      <c r="K228" s="5">
        <v>124.4</v>
      </c>
      <c r="L228" s="5">
        <v>111.2</v>
      </c>
      <c r="M228" s="5">
        <v>141</v>
      </c>
      <c r="N228" s="5">
        <v>128.9</v>
      </c>
      <c r="O228" s="5">
        <v>154.5</v>
      </c>
      <c r="P228" s="5">
        <v>143.80000000000001</v>
      </c>
      <c r="Q228" s="5">
        <v>166.2</v>
      </c>
      <c r="R228" s="5">
        <v>144</v>
      </c>
      <c r="S228" s="5">
        <v>131.69999999999999</v>
      </c>
      <c r="T228" s="5">
        <v>142.19999999999999</v>
      </c>
      <c r="U228" s="5">
        <v>150.1</v>
      </c>
      <c r="V228" s="5">
        <v>129.4</v>
      </c>
      <c r="W228" s="5">
        <v>137.19999999999999</v>
      </c>
      <c r="X228" s="5">
        <v>139.80000000000001</v>
      </c>
      <c r="Y228" s="5">
        <v>120.1</v>
      </c>
      <c r="Z228" s="5">
        <v>134</v>
      </c>
      <c r="AA228" s="5">
        <v>148</v>
      </c>
      <c r="AB228" s="5">
        <v>132.6</v>
      </c>
      <c r="AC228" s="5">
        <v>133.30000000000001</v>
      </c>
      <c r="AD228" s="5">
        <v>141.5</v>
      </c>
    </row>
    <row r="229" spans="1:30" x14ac:dyDescent="0.3">
      <c r="A229" t="s">
        <v>34</v>
      </c>
      <c r="B229" s="3">
        <v>2019</v>
      </c>
      <c r="C229" t="s">
        <v>38</v>
      </c>
      <c r="D229" s="5">
        <v>138.30000000000001</v>
      </c>
      <c r="E229" s="5">
        <v>158.5</v>
      </c>
      <c r="F229" s="5">
        <v>136</v>
      </c>
      <c r="G229" s="5">
        <v>142.5</v>
      </c>
      <c r="H229" s="5">
        <v>122</v>
      </c>
      <c r="I229" s="5">
        <v>146.5</v>
      </c>
      <c r="J229" s="5">
        <v>143</v>
      </c>
      <c r="K229" s="5">
        <v>124.9</v>
      </c>
      <c r="L229" s="5">
        <v>109.9</v>
      </c>
      <c r="M229" s="5">
        <v>139.9</v>
      </c>
      <c r="N229" s="5">
        <v>134</v>
      </c>
      <c r="O229" s="5">
        <v>155.5</v>
      </c>
      <c r="P229" s="5">
        <v>140.9</v>
      </c>
      <c r="Q229" s="5">
        <v>164.1</v>
      </c>
      <c r="R229" s="5">
        <v>148.4</v>
      </c>
      <c r="S229" s="5">
        <v>140.4</v>
      </c>
      <c r="T229" s="5">
        <v>147.30000000000001</v>
      </c>
      <c r="U229" s="5">
        <v>150.1</v>
      </c>
      <c r="V229" s="5">
        <v>140.30000000000001</v>
      </c>
      <c r="W229" s="5">
        <v>143.69999999999999</v>
      </c>
      <c r="X229" s="5">
        <v>146.9</v>
      </c>
      <c r="Y229" s="5">
        <v>124.9</v>
      </c>
      <c r="Z229" s="5">
        <v>139.19999999999999</v>
      </c>
      <c r="AA229" s="5">
        <v>151.6</v>
      </c>
      <c r="AB229" s="5">
        <v>133.4</v>
      </c>
      <c r="AC229" s="5">
        <v>138.19999999999999</v>
      </c>
      <c r="AD229" s="5">
        <v>142</v>
      </c>
    </row>
    <row r="230" spans="1:30" x14ac:dyDescent="0.3">
      <c r="A230" t="s">
        <v>30</v>
      </c>
      <c r="B230" s="3">
        <v>2019</v>
      </c>
      <c r="C230" t="s">
        <v>39</v>
      </c>
      <c r="D230" s="5">
        <v>137.80000000000001</v>
      </c>
      <c r="E230" s="5">
        <v>163.5</v>
      </c>
      <c r="F230" s="5">
        <v>136.19999999999999</v>
      </c>
      <c r="G230" s="5">
        <v>143.19999999999999</v>
      </c>
      <c r="H230" s="5">
        <v>124.3</v>
      </c>
      <c r="I230" s="5">
        <v>143.30000000000001</v>
      </c>
      <c r="J230" s="5">
        <v>140.6</v>
      </c>
      <c r="K230" s="5">
        <v>128.69999999999999</v>
      </c>
      <c r="L230" s="5">
        <v>110.6</v>
      </c>
      <c r="M230" s="5">
        <v>140.4</v>
      </c>
      <c r="N230" s="5">
        <v>138</v>
      </c>
      <c r="O230" s="5">
        <v>156.6</v>
      </c>
      <c r="P230" s="5">
        <v>141</v>
      </c>
      <c r="Q230" s="5">
        <v>164.2</v>
      </c>
      <c r="R230" s="5">
        <v>151.4</v>
      </c>
      <c r="S230" s="5">
        <v>146.5</v>
      </c>
      <c r="T230" s="5">
        <v>150.69999999999999</v>
      </c>
      <c r="U230" s="5" t="s">
        <v>32</v>
      </c>
      <c r="V230" s="5">
        <v>147.80000000000001</v>
      </c>
      <c r="W230" s="5">
        <v>149.6</v>
      </c>
      <c r="X230" s="5">
        <v>151.69999999999999</v>
      </c>
      <c r="Y230" s="5">
        <v>130.19999999999999</v>
      </c>
      <c r="Z230" s="5">
        <v>146.4</v>
      </c>
      <c r="AA230" s="5">
        <v>157.69999999999999</v>
      </c>
      <c r="AB230" s="5">
        <v>134.80000000000001</v>
      </c>
      <c r="AC230" s="5">
        <v>143.30000000000001</v>
      </c>
      <c r="AD230" s="5">
        <v>143.6</v>
      </c>
    </row>
    <row r="231" spans="1:30" x14ac:dyDescent="0.3">
      <c r="A231" t="s">
        <v>33</v>
      </c>
      <c r="B231" s="3">
        <v>2019</v>
      </c>
      <c r="C231" t="s">
        <v>39</v>
      </c>
      <c r="D231" s="5">
        <v>140.69999999999999</v>
      </c>
      <c r="E231" s="5">
        <v>159.6</v>
      </c>
      <c r="F231" s="5">
        <v>140.4</v>
      </c>
      <c r="G231" s="5">
        <v>143.4</v>
      </c>
      <c r="H231" s="5">
        <v>118.6</v>
      </c>
      <c r="I231" s="5">
        <v>150.9</v>
      </c>
      <c r="J231" s="5">
        <v>169.8</v>
      </c>
      <c r="K231" s="5">
        <v>127.4</v>
      </c>
      <c r="L231" s="5">
        <v>111.8</v>
      </c>
      <c r="M231" s="5">
        <v>141</v>
      </c>
      <c r="N231" s="5">
        <v>129</v>
      </c>
      <c r="O231" s="5">
        <v>155.1</v>
      </c>
      <c r="P231" s="5">
        <v>145.6</v>
      </c>
      <c r="Q231" s="5">
        <v>166.7</v>
      </c>
      <c r="R231" s="5">
        <v>144.30000000000001</v>
      </c>
      <c r="S231" s="5">
        <v>131.69999999999999</v>
      </c>
      <c r="T231" s="5">
        <v>142.4</v>
      </c>
      <c r="U231" s="5">
        <v>149.4</v>
      </c>
      <c r="V231" s="5">
        <v>130.5</v>
      </c>
      <c r="W231" s="5">
        <v>137.4</v>
      </c>
      <c r="X231" s="5">
        <v>140.30000000000001</v>
      </c>
      <c r="Y231" s="5">
        <v>119.6</v>
      </c>
      <c r="Z231" s="5">
        <v>134.30000000000001</v>
      </c>
      <c r="AA231" s="5">
        <v>148.9</v>
      </c>
      <c r="AB231" s="5">
        <v>133.69999999999999</v>
      </c>
      <c r="AC231" s="5">
        <v>133.6</v>
      </c>
      <c r="AD231" s="5">
        <v>142.1</v>
      </c>
    </row>
    <row r="232" spans="1:30" x14ac:dyDescent="0.3">
      <c r="A232" t="s">
        <v>34</v>
      </c>
      <c r="B232" s="3">
        <v>2019</v>
      </c>
      <c r="C232" t="s">
        <v>39</v>
      </c>
      <c r="D232" s="5">
        <v>138.69999999999999</v>
      </c>
      <c r="E232" s="5">
        <v>162.1</v>
      </c>
      <c r="F232" s="5">
        <v>137.80000000000001</v>
      </c>
      <c r="G232" s="5">
        <v>143.30000000000001</v>
      </c>
      <c r="H232" s="5">
        <v>122.2</v>
      </c>
      <c r="I232" s="5">
        <v>146.80000000000001</v>
      </c>
      <c r="J232" s="5">
        <v>150.5</v>
      </c>
      <c r="K232" s="5">
        <v>128.30000000000001</v>
      </c>
      <c r="L232" s="5">
        <v>111</v>
      </c>
      <c r="M232" s="5">
        <v>140.6</v>
      </c>
      <c r="N232" s="5">
        <v>134.19999999999999</v>
      </c>
      <c r="O232" s="5">
        <v>155.9</v>
      </c>
      <c r="P232" s="5">
        <v>142.69999999999999</v>
      </c>
      <c r="Q232" s="5">
        <v>164.9</v>
      </c>
      <c r="R232" s="5">
        <v>148.6</v>
      </c>
      <c r="S232" s="5">
        <v>140.4</v>
      </c>
      <c r="T232" s="5">
        <v>147.4</v>
      </c>
      <c r="U232" s="5">
        <v>149.4</v>
      </c>
      <c r="V232" s="5">
        <v>141.19999999999999</v>
      </c>
      <c r="W232" s="5">
        <v>143.80000000000001</v>
      </c>
      <c r="X232" s="5">
        <v>147.4</v>
      </c>
      <c r="Y232" s="5">
        <v>124.6</v>
      </c>
      <c r="Z232" s="5">
        <v>139.6</v>
      </c>
      <c r="AA232" s="5">
        <v>152.5</v>
      </c>
      <c r="AB232" s="5">
        <v>134.30000000000001</v>
      </c>
      <c r="AC232" s="5">
        <v>138.6</v>
      </c>
      <c r="AD232" s="5">
        <v>142.9</v>
      </c>
    </row>
    <row r="233" spans="1:30" x14ac:dyDescent="0.3">
      <c r="A233" t="s">
        <v>30</v>
      </c>
      <c r="B233" s="3">
        <v>2019</v>
      </c>
      <c r="C233" t="s">
        <v>40</v>
      </c>
      <c r="D233" s="5">
        <v>138.4</v>
      </c>
      <c r="E233" s="5">
        <v>164</v>
      </c>
      <c r="F233" s="5">
        <v>138.4</v>
      </c>
      <c r="G233" s="5">
        <v>143.9</v>
      </c>
      <c r="H233" s="5">
        <v>124.4</v>
      </c>
      <c r="I233" s="5">
        <v>146.4</v>
      </c>
      <c r="J233" s="5">
        <v>150.1</v>
      </c>
      <c r="K233" s="5">
        <v>130.6</v>
      </c>
      <c r="L233" s="5">
        <v>110.8</v>
      </c>
      <c r="M233" s="5">
        <v>141.69999999999999</v>
      </c>
      <c r="N233" s="5">
        <v>138.5</v>
      </c>
      <c r="O233" s="5">
        <v>156.69999999999999</v>
      </c>
      <c r="P233" s="5">
        <v>143</v>
      </c>
      <c r="Q233" s="5">
        <v>164.5</v>
      </c>
      <c r="R233" s="5">
        <v>151.6</v>
      </c>
      <c r="S233" s="5">
        <v>146.6</v>
      </c>
      <c r="T233" s="5">
        <v>150.9</v>
      </c>
      <c r="U233" s="5" t="s">
        <v>32</v>
      </c>
      <c r="V233" s="5">
        <v>146.80000000000001</v>
      </c>
      <c r="W233" s="5">
        <v>150</v>
      </c>
      <c r="X233" s="5">
        <v>152.19999999999999</v>
      </c>
      <c r="Y233" s="5">
        <v>131.19999999999999</v>
      </c>
      <c r="Z233" s="5">
        <v>147.5</v>
      </c>
      <c r="AA233" s="5">
        <v>159.1</v>
      </c>
      <c r="AB233" s="5">
        <v>136.1</v>
      </c>
      <c r="AC233" s="5">
        <v>144.19999999999999</v>
      </c>
      <c r="AD233" s="5">
        <v>144.9</v>
      </c>
    </row>
    <row r="234" spans="1:30" x14ac:dyDescent="0.3">
      <c r="A234" t="s">
        <v>33</v>
      </c>
      <c r="B234" s="3">
        <v>2019</v>
      </c>
      <c r="C234" t="s">
        <v>40</v>
      </c>
      <c r="D234" s="5">
        <v>141.4</v>
      </c>
      <c r="E234" s="5">
        <v>160.19999999999999</v>
      </c>
      <c r="F234" s="5">
        <v>142.5</v>
      </c>
      <c r="G234" s="5">
        <v>144.1</v>
      </c>
      <c r="H234" s="5">
        <v>119.3</v>
      </c>
      <c r="I234" s="5">
        <v>154.69999999999999</v>
      </c>
      <c r="J234" s="5">
        <v>180.1</v>
      </c>
      <c r="K234" s="5">
        <v>128.9</v>
      </c>
      <c r="L234" s="5">
        <v>111.8</v>
      </c>
      <c r="M234" s="5">
        <v>141.6</v>
      </c>
      <c r="N234" s="5">
        <v>129.5</v>
      </c>
      <c r="O234" s="5">
        <v>155.6</v>
      </c>
      <c r="P234" s="5">
        <v>147.69999999999999</v>
      </c>
      <c r="Q234" s="5">
        <v>167.2</v>
      </c>
      <c r="R234" s="5">
        <v>144.69999999999999</v>
      </c>
      <c r="S234" s="5">
        <v>131.9</v>
      </c>
      <c r="T234" s="5">
        <v>142.69999999999999</v>
      </c>
      <c r="U234" s="5">
        <v>150.6</v>
      </c>
      <c r="V234" s="5">
        <v>127</v>
      </c>
      <c r="W234" s="5">
        <v>137.69999999999999</v>
      </c>
      <c r="X234" s="5">
        <v>140.80000000000001</v>
      </c>
      <c r="Y234" s="5">
        <v>120.6</v>
      </c>
      <c r="Z234" s="5">
        <v>135</v>
      </c>
      <c r="AA234" s="5">
        <v>150.4</v>
      </c>
      <c r="AB234" s="5">
        <v>135.1</v>
      </c>
      <c r="AC234" s="5">
        <v>134.5</v>
      </c>
      <c r="AD234" s="5">
        <v>143.30000000000001</v>
      </c>
    </row>
    <row r="235" spans="1:30" x14ac:dyDescent="0.3">
      <c r="A235" t="s">
        <v>34</v>
      </c>
      <c r="B235" s="3">
        <v>2019</v>
      </c>
      <c r="C235" t="s">
        <v>40</v>
      </c>
      <c r="D235" s="5">
        <v>139.30000000000001</v>
      </c>
      <c r="E235" s="5">
        <v>162.69999999999999</v>
      </c>
      <c r="F235" s="5">
        <v>140</v>
      </c>
      <c r="G235" s="5">
        <v>144</v>
      </c>
      <c r="H235" s="5">
        <v>122.5</v>
      </c>
      <c r="I235" s="5">
        <v>150.30000000000001</v>
      </c>
      <c r="J235" s="5">
        <v>160.30000000000001</v>
      </c>
      <c r="K235" s="5">
        <v>130</v>
      </c>
      <c r="L235" s="5">
        <v>111.1</v>
      </c>
      <c r="M235" s="5">
        <v>141.69999999999999</v>
      </c>
      <c r="N235" s="5">
        <v>134.69999999999999</v>
      </c>
      <c r="O235" s="5">
        <v>156.19999999999999</v>
      </c>
      <c r="P235" s="5">
        <v>144.69999999999999</v>
      </c>
      <c r="Q235" s="5">
        <v>165.2</v>
      </c>
      <c r="R235" s="5">
        <v>148.9</v>
      </c>
      <c r="S235" s="5">
        <v>140.5</v>
      </c>
      <c r="T235" s="5">
        <v>147.6</v>
      </c>
      <c r="U235" s="5">
        <v>150.6</v>
      </c>
      <c r="V235" s="5">
        <v>139.30000000000001</v>
      </c>
      <c r="W235" s="5">
        <v>144.19999999999999</v>
      </c>
      <c r="X235" s="5">
        <v>147.9</v>
      </c>
      <c r="Y235" s="5">
        <v>125.6</v>
      </c>
      <c r="Z235" s="5">
        <v>140.5</v>
      </c>
      <c r="AA235" s="5">
        <v>154</v>
      </c>
      <c r="AB235" s="5">
        <v>135.69999999999999</v>
      </c>
      <c r="AC235" s="5">
        <v>139.5</v>
      </c>
      <c r="AD235" s="5">
        <v>144.19999999999999</v>
      </c>
    </row>
    <row r="236" spans="1:30" x14ac:dyDescent="0.3">
      <c r="A236" t="s">
        <v>30</v>
      </c>
      <c r="B236" s="3">
        <v>2019</v>
      </c>
      <c r="C236" t="s">
        <v>41</v>
      </c>
      <c r="D236" s="5">
        <v>139.19999999999999</v>
      </c>
      <c r="E236" s="5">
        <v>161.9</v>
      </c>
      <c r="F236" s="5">
        <v>137.1</v>
      </c>
      <c r="G236" s="5">
        <v>144.6</v>
      </c>
      <c r="H236" s="5">
        <v>124.7</v>
      </c>
      <c r="I236" s="5">
        <v>145.5</v>
      </c>
      <c r="J236" s="5">
        <v>156.19999999999999</v>
      </c>
      <c r="K236" s="5">
        <v>131.5</v>
      </c>
      <c r="L236" s="5">
        <v>111.7</v>
      </c>
      <c r="M236" s="5">
        <v>142.69999999999999</v>
      </c>
      <c r="N236" s="5">
        <v>138.5</v>
      </c>
      <c r="O236" s="5">
        <v>156.9</v>
      </c>
      <c r="P236" s="5">
        <v>144</v>
      </c>
      <c r="Q236" s="5">
        <v>165.1</v>
      </c>
      <c r="R236" s="5">
        <v>151.80000000000001</v>
      </c>
      <c r="S236" s="5">
        <v>146.6</v>
      </c>
      <c r="T236" s="5">
        <v>151.1</v>
      </c>
      <c r="U236" s="5" t="s">
        <v>32</v>
      </c>
      <c r="V236" s="5">
        <v>146.4</v>
      </c>
      <c r="W236" s="5">
        <v>150.19999999999999</v>
      </c>
      <c r="X236" s="5">
        <v>152.69999999999999</v>
      </c>
      <c r="Y236" s="5">
        <v>131.4</v>
      </c>
      <c r="Z236" s="5">
        <v>148</v>
      </c>
      <c r="AA236" s="5">
        <v>159.69999999999999</v>
      </c>
      <c r="AB236" s="5">
        <v>138.80000000000001</v>
      </c>
      <c r="AC236" s="5">
        <v>144.9</v>
      </c>
      <c r="AD236" s="5">
        <v>145.69999999999999</v>
      </c>
    </row>
    <row r="237" spans="1:30" x14ac:dyDescent="0.3">
      <c r="A237" t="s">
        <v>33</v>
      </c>
      <c r="B237" s="3">
        <v>2019</v>
      </c>
      <c r="C237" t="s">
        <v>41</v>
      </c>
      <c r="D237" s="5">
        <v>142.1</v>
      </c>
      <c r="E237" s="5">
        <v>158.30000000000001</v>
      </c>
      <c r="F237" s="5">
        <v>140.80000000000001</v>
      </c>
      <c r="G237" s="5">
        <v>144.9</v>
      </c>
      <c r="H237" s="5">
        <v>119.9</v>
      </c>
      <c r="I237" s="5">
        <v>153.9</v>
      </c>
      <c r="J237" s="5">
        <v>189.1</v>
      </c>
      <c r="K237" s="5">
        <v>129.80000000000001</v>
      </c>
      <c r="L237" s="5">
        <v>112.7</v>
      </c>
      <c r="M237" s="5">
        <v>142.5</v>
      </c>
      <c r="N237" s="5">
        <v>129.80000000000001</v>
      </c>
      <c r="O237" s="5">
        <v>156.19999999999999</v>
      </c>
      <c r="P237" s="5">
        <v>149.1</v>
      </c>
      <c r="Q237" s="5">
        <v>167.9</v>
      </c>
      <c r="R237" s="5">
        <v>145</v>
      </c>
      <c r="S237" s="5">
        <v>132.19999999999999</v>
      </c>
      <c r="T237" s="5">
        <v>143</v>
      </c>
      <c r="U237" s="5">
        <v>151.6</v>
      </c>
      <c r="V237" s="5">
        <v>125.5</v>
      </c>
      <c r="W237" s="5">
        <v>138.1</v>
      </c>
      <c r="X237" s="5">
        <v>141.5</v>
      </c>
      <c r="Y237" s="5">
        <v>120.8</v>
      </c>
      <c r="Z237" s="5">
        <v>135.4</v>
      </c>
      <c r="AA237" s="5">
        <v>151.5</v>
      </c>
      <c r="AB237" s="5">
        <v>137.80000000000001</v>
      </c>
      <c r="AC237" s="5">
        <v>135.30000000000001</v>
      </c>
      <c r="AD237" s="5">
        <v>144.19999999999999</v>
      </c>
    </row>
    <row r="238" spans="1:30" x14ac:dyDescent="0.3">
      <c r="A238" t="s">
        <v>34</v>
      </c>
      <c r="B238" s="3">
        <v>2019</v>
      </c>
      <c r="C238" t="s">
        <v>41</v>
      </c>
      <c r="D238" s="5">
        <v>140.1</v>
      </c>
      <c r="E238" s="5">
        <v>160.6</v>
      </c>
      <c r="F238" s="5">
        <v>138.5</v>
      </c>
      <c r="G238" s="5">
        <v>144.69999999999999</v>
      </c>
      <c r="H238" s="5">
        <v>122.9</v>
      </c>
      <c r="I238" s="5">
        <v>149.4</v>
      </c>
      <c r="J238" s="5">
        <v>167.4</v>
      </c>
      <c r="K238" s="5">
        <v>130.9</v>
      </c>
      <c r="L238" s="5">
        <v>112</v>
      </c>
      <c r="M238" s="5">
        <v>142.6</v>
      </c>
      <c r="N238" s="5">
        <v>134.9</v>
      </c>
      <c r="O238" s="5">
        <v>156.6</v>
      </c>
      <c r="P238" s="5">
        <v>145.9</v>
      </c>
      <c r="Q238" s="5">
        <v>165.8</v>
      </c>
      <c r="R238" s="5">
        <v>149.1</v>
      </c>
      <c r="S238" s="5">
        <v>140.6</v>
      </c>
      <c r="T238" s="5">
        <v>147.9</v>
      </c>
      <c r="U238" s="5">
        <v>151.6</v>
      </c>
      <c r="V238" s="5">
        <v>138.5</v>
      </c>
      <c r="W238" s="5">
        <v>144.5</v>
      </c>
      <c r="X238" s="5">
        <v>148.5</v>
      </c>
      <c r="Y238" s="5">
        <v>125.8</v>
      </c>
      <c r="Z238" s="5">
        <v>140.9</v>
      </c>
      <c r="AA238" s="5">
        <v>154.9</v>
      </c>
      <c r="AB238" s="5">
        <v>138.4</v>
      </c>
      <c r="AC238" s="5">
        <v>140.19999999999999</v>
      </c>
      <c r="AD238" s="5">
        <v>145</v>
      </c>
    </row>
    <row r="239" spans="1:30" x14ac:dyDescent="0.3">
      <c r="A239" t="s">
        <v>30</v>
      </c>
      <c r="B239" s="3">
        <v>2019</v>
      </c>
      <c r="C239" t="s">
        <v>42</v>
      </c>
      <c r="D239" s="5">
        <v>140.1</v>
      </c>
      <c r="E239" s="5">
        <v>161.9</v>
      </c>
      <c r="F239" s="5">
        <v>138.30000000000001</v>
      </c>
      <c r="G239" s="5">
        <v>145.69999999999999</v>
      </c>
      <c r="H239" s="5">
        <v>125.1</v>
      </c>
      <c r="I239" s="5">
        <v>143.80000000000001</v>
      </c>
      <c r="J239" s="5">
        <v>163.4</v>
      </c>
      <c r="K239" s="5">
        <v>132.19999999999999</v>
      </c>
      <c r="L239" s="5">
        <v>112.8</v>
      </c>
      <c r="M239" s="5">
        <v>144.19999999999999</v>
      </c>
      <c r="N239" s="5">
        <v>138.5</v>
      </c>
      <c r="O239" s="5">
        <v>157.19999999999999</v>
      </c>
      <c r="P239" s="5">
        <v>145.5</v>
      </c>
      <c r="Q239" s="5">
        <v>165.7</v>
      </c>
      <c r="R239" s="5">
        <v>151.69999999999999</v>
      </c>
      <c r="S239" s="5">
        <v>146.6</v>
      </c>
      <c r="T239" s="5">
        <v>151</v>
      </c>
      <c r="U239" s="5" t="s">
        <v>32</v>
      </c>
      <c r="V239" s="5">
        <v>146.9</v>
      </c>
      <c r="W239" s="5">
        <v>150.30000000000001</v>
      </c>
      <c r="X239" s="5">
        <v>153.4</v>
      </c>
      <c r="Y239" s="5">
        <v>131.6</v>
      </c>
      <c r="Z239" s="5">
        <v>148.30000000000001</v>
      </c>
      <c r="AA239" s="5">
        <v>160.19999999999999</v>
      </c>
      <c r="AB239" s="5">
        <v>140.19999999999999</v>
      </c>
      <c r="AC239" s="5">
        <v>145.4</v>
      </c>
      <c r="AD239" s="5">
        <v>146.69999999999999</v>
      </c>
    </row>
    <row r="240" spans="1:30" x14ac:dyDescent="0.3">
      <c r="A240" t="s">
        <v>33</v>
      </c>
      <c r="B240" s="3">
        <v>2019</v>
      </c>
      <c r="C240" t="s">
        <v>42</v>
      </c>
      <c r="D240" s="5">
        <v>142.69999999999999</v>
      </c>
      <c r="E240" s="5">
        <v>158.69999999999999</v>
      </c>
      <c r="F240" s="5">
        <v>141.6</v>
      </c>
      <c r="G240" s="5">
        <v>144.9</v>
      </c>
      <c r="H240" s="5">
        <v>120.8</v>
      </c>
      <c r="I240" s="5">
        <v>149.80000000000001</v>
      </c>
      <c r="J240" s="5">
        <v>192.4</v>
      </c>
      <c r="K240" s="5">
        <v>130.30000000000001</v>
      </c>
      <c r="L240" s="5">
        <v>114</v>
      </c>
      <c r="M240" s="5">
        <v>143.80000000000001</v>
      </c>
      <c r="N240" s="5">
        <v>130</v>
      </c>
      <c r="O240" s="5">
        <v>156.4</v>
      </c>
      <c r="P240" s="5">
        <v>149.5</v>
      </c>
      <c r="Q240" s="5">
        <v>168.6</v>
      </c>
      <c r="R240" s="5">
        <v>145.30000000000001</v>
      </c>
      <c r="S240" s="5">
        <v>132.19999999999999</v>
      </c>
      <c r="T240" s="5">
        <v>143.30000000000001</v>
      </c>
      <c r="U240" s="5">
        <v>152.19999999999999</v>
      </c>
      <c r="V240" s="5">
        <v>126.6</v>
      </c>
      <c r="W240" s="5">
        <v>138.30000000000001</v>
      </c>
      <c r="X240" s="5">
        <v>141.9</v>
      </c>
      <c r="Y240" s="5">
        <v>121.2</v>
      </c>
      <c r="Z240" s="5">
        <v>135.9</v>
      </c>
      <c r="AA240" s="5">
        <v>151.6</v>
      </c>
      <c r="AB240" s="5">
        <v>139</v>
      </c>
      <c r="AC240" s="5">
        <v>135.69999999999999</v>
      </c>
      <c r="AD240" s="5">
        <v>144.69999999999999</v>
      </c>
    </row>
    <row r="241" spans="1:30" x14ac:dyDescent="0.3">
      <c r="A241" t="s">
        <v>34</v>
      </c>
      <c r="B241" s="3">
        <v>2019</v>
      </c>
      <c r="C241" t="s">
        <v>42</v>
      </c>
      <c r="D241" s="5">
        <v>140.9</v>
      </c>
      <c r="E241" s="5">
        <v>160.80000000000001</v>
      </c>
      <c r="F241" s="5">
        <v>139.6</v>
      </c>
      <c r="G241" s="5">
        <v>145.4</v>
      </c>
      <c r="H241" s="5">
        <v>123.5</v>
      </c>
      <c r="I241" s="5">
        <v>146.6</v>
      </c>
      <c r="J241" s="5">
        <v>173.2</v>
      </c>
      <c r="K241" s="5">
        <v>131.6</v>
      </c>
      <c r="L241" s="5">
        <v>113.2</v>
      </c>
      <c r="M241" s="5">
        <v>144.1</v>
      </c>
      <c r="N241" s="5">
        <v>135</v>
      </c>
      <c r="O241" s="5">
        <v>156.80000000000001</v>
      </c>
      <c r="P241" s="5">
        <v>147</v>
      </c>
      <c r="Q241" s="5">
        <v>166.5</v>
      </c>
      <c r="R241" s="5">
        <v>149.19999999999999</v>
      </c>
      <c r="S241" s="5">
        <v>140.6</v>
      </c>
      <c r="T241" s="5">
        <v>147.9</v>
      </c>
      <c r="U241" s="5">
        <v>152.19999999999999</v>
      </c>
      <c r="V241" s="5">
        <v>139.19999999999999</v>
      </c>
      <c r="W241" s="5">
        <v>144.6</v>
      </c>
      <c r="X241" s="5">
        <v>149</v>
      </c>
      <c r="Y241" s="5">
        <v>126.1</v>
      </c>
      <c r="Z241" s="5">
        <v>141.30000000000001</v>
      </c>
      <c r="AA241" s="5">
        <v>155.19999999999999</v>
      </c>
      <c r="AB241" s="5">
        <v>139.69999999999999</v>
      </c>
      <c r="AC241" s="5">
        <v>140.69999999999999</v>
      </c>
      <c r="AD241" s="5">
        <v>145.80000000000001</v>
      </c>
    </row>
    <row r="242" spans="1:30" x14ac:dyDescent="0.3">
      <c r="A242" t="s">
        <v>30</v>
      </c>
      <c r="B242" s="3">
        <v>2019</v>
      </c>
      <c r="C242" t="s">
        <v>43</v>
      </c>
      <c r="D242" s="5">
        <v>141</v>
      </c>
      <c r="E242" s="5">
        <v>161.6</v>
      </c>
      <c r="F242" s="5">
        <v>141.19999999999999</v>
      </c>
      <c r="G242" s="5">
        <v>146.5</v>
      </c>
      <c r="H242" s="5">
        <v>125.6</v>
      </c>
      <c r="I242" s="5">
        <v>145.69999999999999</v>
      </c>
      <c r="J242" s="5">
        <v>178.8</v>
      </c>
      <c r="K242" s="5">
        <v>133.1</v>
      </c>
      <c r="L242" s="5">
        <v>113.6</v>
      </c>
      <c r="M242" s="5">
        <v>145.5</v>
      </c>
      <c r="N242" s="5">
        <v>138.6</v>
      </c>
      <c r="O242" s="5">
        <v>157.4</v>
      </c>
      <c r="P242" s="5">
        <v>148.30000000000001</v>
      </c>
      <c r="Q242" s="5">
        <v>166.3</v>
      </c>
      <c r="R242" s="5">
        <v>151.69999999999999</v>
      </c>
      <c r="S242" s="5">
        <v>146.69999999999999</v>
      </c>
      <c r="T242" s="5">
        <v>151</v>
      </c>
      <c r="U242" s="5" t="s">
        <v>32</v>
      </c>
      <c r="V242" s="5">
        <v>147.69999999999999</v>
      </c>
      <c r="W242" s="5">
        <v>150.6</v>
      </c>
      <c r="X242" s="5">
        <v>153.69999999999999</v>
      </c>
      <c r="Y242" s="5">
        <v>131.69999999999999</v>
      </c>
      <c r="Z242" s="5">
        <v>148.69999999999999</v>
      </c>
      <c r="AA242" s="5">
        <v>160.69999999999999</v>
      </c>
      <c r="AB242" s="5">
        <v>140.30000000000001</v>
      </c>
      <c r="AC242" s="5">
        <v>145.69999999999999</v>
      </c>
      <c r="AD242" s="5">
        <v>148.30000000000001</v>
      </c>
    </row>
    <row r="243" spans="1:30" x14ac:dyDescent="0.3">
      <c r="A243" t="s">
        <v>33</v>
      </c>
      <c r="B243" s="3">
        <v>2019</v>
      </c>
      <c r="C243" t="s">
        <v>43</v>
      </c>
      <c r="D243" s="5">
        <v>143.5</v>
      </c>
      <c r="E243" s="5">
        <v>159.80000000000001</v>
      </c>
      <c r="F243" s="5">
        <v>144.69999999999999</v>
      </c>
      <c r="G243" s="5">
        <v>145.6</v>
      </c>
      <c r="H243" s="5">
        <v>121.1</v>
      </c>
      <c r="I243" s="5">
        <v>150.6</v>
      </c>
      <c r="J243" s="5">
        <v>207.2</v>
      </c>
      <c r="K243" s="5">
        <v>131.19999999999999</v>
      </c>
      <c r="L243" s="5">
        <v>114.8</v>
      </c>
      <c r="M243" s="5">
        <v>145.19999999999999</v>
      </c>
      <c r="N243" s="5">
        <v>130.19999999999999</v>
      </c>
      <c r="O243" s="5">
        <v>156.80000000000001</v>
      </c>
      <c r="P243" s="5">
        <v>151.9</v>
      </c>
      <c r="Q243" s="5">
        <v>169.3</v>
      </c>
      <c r="R243" s="5">
        <v>145.9</v>
      </c>
      <c r="S243" s="5">
        <v>132.4</v>
      </c>
      <c r="T243" s="5">
        <v>143.9</v>
      </c>
      <c r="U243" s="5">
        <v>153</v>
      </c>
      <c r="V243" s="5">
        <v>128.9</v>
      </c>
      <c r="W243" s="5">
        <v>138.69999999999999</v>
      </c>
      <c r="X243" s="5">
        <v>142.4</v>
      </c>
      <c r="Y243" s="5">
        <v>121.5</v>
      </c>
      <c r="Z243" s="5">
        <v>136.19999999999999</v>
      </c>
      <c r="AA243" s="5">
        <v>151.69999999999999</v>
      </c>
      <c r="AB243" s="5">
        <v>139.5</v>
      </c>
      <c r="AC243" s="5">
        <v>136</v>
      </c>
      <c r="AD243" s="5">
        <v>146</v>
      </c>
    </row>
    <row r="244" spans="1:30" x14ac:dyDescent="0.3">
      <c r="A244" t="s">
        <v>34</v>
      </c>
      <c r="B244" s="3">
        <v>2019</v>
      </c>
      <c r="C244" t="s">
        <v>43</v>
      </c>
      <c r="D244" s="5">
        <v>141.80000000000001</v>
      </c>
      <c r="E244" s="5">
        <v>161</v>
      </c>
      <c r="F244" s="5">
        <v>142.6</v>
      </c>
      <c r="G244" s="5">
        <v>146.19999999999999</v>
      </c>
      <c r="H244" s="5">
        <v>123.9</v>
      </c>
      <c r="I244" s="5">
        <v>148</v>
      </c>
      <c r="J244" s="5">
        <v>188.4</v>
      </c>
      <c r="K244" s="5">
        <v>132.5</v>
      </c>
      <c r="L244" s="5">
        <v>114</v>
      </c>
      <c r="M244" s="5">
        <v>145.4</v>
      </c>
      <c r="N244" s="5">
        <v>135.1</v>
      </c>
      <c r="O244" s="5">
        <v>157.1</v>
      </c>
      <c r="P244" s="5">
        <v>149.6</v>
      </c>
      <c r="Q244" s="5">
        <v>167.1</v>
      </c>
      <c r="R244" s="5">
        <v>149.4</v>
      </c>
      <c r="S244" s="5">
        <v>140.80000000000001</v>
      </c>
      <c r="T244" s="5">
        <v>148.19999999999999</v>
      </c>
      <c r="U244" s="5">
        <v>153</v>
      </c>
      <c r="V244" s="5">
        <v>140.6</v>
      </c>
      <c r="W244" s="5">
        <v>145</v>
      </c>
      <c r="X244" s="5">
        <v>149.4</v>
      </c>
      <c r="Y244" s="5">
        <v>126.3</v>
      </c>
      <c r="Z244" s="5">
        <v>141.69999999999999</v>
      </c>
      <c r="AA244" s="5">
        <v>155.4</v>
      </c>
      <c r="AB244" s="5">
        <v>140</v>
      </c>
      <c r="AC244" s="5">
        <v>141</v>
      </c>
      <c r="AD244" s="5">
        <v>147.19999999999999</v>
      </c>
    </row>
    <row r="245" spans="1:30" x14ac:dyDescent="0.3">
      <c r="A245" t="s">
        <v>30</v>
      </c>
      <c r="B245" s="3">
        <v>2019</v>
      </c>
      <c r="C245" t="s">
        <v>45</v>
      </c>
      <c r="D245" s="5">
        <v>141.80000000000001</v>
      </c>
      <c r="E245" s="5">
        <v>163.69999999999999</v>
      </c>
      <c r="F245" s="5">
        <v>143.80000000000001</v>
      </c>
      <c r="G245" s="5">
        <v>147.1</v>
      </c>
      <c r="H245" s="5">
        <v>126</v>
      </c>
      <c r="I245" s="5">
        <v>146.19999999999999</v>
      </c>
      <c r="J245" s="5">
        <v>191.4</v>
      </c>
      <c r="K245" s="5">
        <v>136.19999999999999</v>
      </c>
      <c r="L245" s="5">
        <v>113.8</v>
      </c>
      <c r="M245" s="5">
        <v>147.30000000000001</v>
      </c>
      <c r="N245" s="5">
        <v>138.69999999999999</v>
      </c>
      <c r="O245" s="5">
        <v>157.69999999999999</v>
      </c>
      <c r="P245" s="5">
        <v>150.9</v>
      </c>
      <c r="Q245" s="5">
        <v>167.2</v>
      </c>
      <c r="R245" s="5">
        <v>152.30000000000001</v>
      </c>
      <c r="S245" s="5">
        <v>147</v>
      </c>
      <c r="T245" s="5">
        <v>151.5</v>
      </c>
      <c r="U245" s="5" t="s">
        <v>32</v>
      </c>
      <c r="V245" s="5">
        <v>148.4</v>
      </c>
      <c r="W245" s="5">
        <v>150.9</v>
      </c>
      <c r="X245" s="5">
        <v>154.30000000000001</v>
      </c>
      <c r="Y245" s="5">
        <v>132.1</v>
      </c>
      <c r="Z245" s="5">
        <v>149.1</v>
      </c>
      <c r="AA245" s="5">
        <v>160.80000000000001</v>
      </c>
      <c r="AB245" s="5">
        <v>140.6</v>
      </c>
      <c r="AC245" s="5">
        <v>146.1</v>
      </c>
      <c r="AD245" s="5">
        <v>149.9</v>
      </c>
    </row>
    <row r="246" spans="1:30" x14ac:dyDescent="0.3">
      <c r="A246" t="s">
        <v>33</v>
      </c>
      <c r="B246" s="3">
        <v>2019</v>
      </c>
      <c r="C246" t="s">
        <v>45</v>
      </c>
      <c r="D246" s="5">
        <v>144.1</v>
      </c>
      <c r="E246" s="5">
        <v>162.4</v>
      </c>
      <c r="F246" s="5">
        <v>148.4</v>
      </c>
      <c r="G246" s="5">
        <v>145.9</v>
      </c>
      <c r="H246" s="5">
        <v>121.5</v>
      </c>
      <c r="I246" s="5">
        <v>148.80000000000001</v>
      </c>
      <c r="J246" s="5">
        <v>215.7</v>
      </c>
      <c r="K246" s="5">
        <v>134.6</v>
      </c>
      <c r="L246" s="5">
        <v>115</v>
      </c>
      <c r="M246" s="5">
        <v>146.30000000000001</v>
      </c>
      <c r="N246" s="5">
        <v>130.5</v>
      </c>
      <c r="O246" s="5">
        <v>157.19999999999999</v>
      </c>
      <c r="P246" s="5">
        <v>153.6</v>
      </c>
      <c r="Q246" s="5">
        <v>169.9</v>
      </c>
      <c r="R246" s="5">
        <v>146.30000000000001</v>
      </c>
      <c r="S246" s="5">
        <v>132.6</v>
      </c>
      <c r="T246" s="5">
        <v>144.19999999999999</v>
      </c>
      <c r="U246" s="5">
        <v>153.5</v>
      </c>
      <c r="V246" s="5">
        <v>132.19999999999999</v>
      </c>
      <c r="W246" s="5">
        <v>139.1</v>
      </c>
      <c r="X246" s="5">
        <v>142.80000000000001</v>
      </c>
      <c r="Y246" s="5">
        <v>121.7</v>
      </c>
      <c r="Z246" s="5">
        <v>136.69999999999999</v>
      </c>
      <c r="AA246" s="5">
        <v>151.80000000000001</v>
      </c>
      <c r="AB246" s="5">
        <v>139.80000000000001</v>
      </c>
      <c r="AC246" s="5">
        <v>136.30000000000001</v>
      </c>
      <c r="AD246" s="5">
        <v>147</v>
      </c>
    </row>
    <row r="247" spans="1:30" x14ac:dyDescent="0.3">
      <c r="A247" t="s">
        <v>34</v>
      </c>
      <c r="B247" s="3">
        <v>2019</v>
      </c>
      <c r="C247" t="s">
        <v>45</v>
      </c>
      <c r="D247" s="5">
        <v>142.5</v>
      </c>
      <c r="E247" s="5">
        <v>163.19999999999999</v>
      </c>
      <c r="F247" s="5">
        <v>145.6</v>
      </c>
      <c r="G247" s="5">
        <v>146.69999999999999</v>
      </c>
      <c r="H247" s="5">
        <v>124.3</v>
      </c>
      <c r="I247" s="5">
        <v>147.4</v>
      </c>
      <c r="J247" s="5">
        <v>199.6</v>
      </c>
      <c r="K247" s="5">
        <v>135.69999999999999</v>
      </c>
      <c r="L247" s="5">
        <v>114.2</v>
      </c>
      <c r="M247" s="5">
        <v>147</v>
      </c>
      <c r="N247" s="5">
        <v>135.30000000000001</v>
      </c>
      <c r="O247" s="5">
        <v>157.5</v>
      </c>
      <c r="P247" s="5">
        <v>151.9</v>
      </c>
      <c r="Q247" s="5">
        <v>167.9</v>
      </c>
      <c r="R247" s="5">
        <v>149.9</v>
      </c>
      <c r="S247" s="5">
        <v>141</v>
      </c>
      <c r="T247" s="5">
        <v>148.6</v>
      </c>
      <c r="U247" s="5">
        <v>153.5</v>
      </c>
      <c r="V247" s="5">
        <v>142.30000000000001</v>
      </c>
      <c r="W247" s="5">
        <v>145.30000000000001</v>
      </c>
      <c r="X247" s="5">
        <v>149.9</v>
      </c>
      <c r="Y247" s="5">
        <v>126.6</v>
      </c>
      <c r="Z247" s="5">
        <v>142.1</v>
      </c>
      <c r="AA247" s="5">
        <v>155.5</v>
      </c>
      <c r="AB247" s="5">
        <v>140.30000000000001</v>
      </c>
      <c r="AC247" s="5">
        <v>141.30000000000001</v>
      </c>
      <c r="AD247" s="5">
        <v>148.6</v>
      </c>
    </row>
    <row r="248" spans="1:30" x14ac:dyDescent="0.3">
      <c r="A248" t="s">
        <v>30</v>
      </c>
      <c r="B248" s="3">
        <v>2019</v>
      </c>
      <c r="C248" t="s">
        <v>46</v>
      </c>
      <c r="D248" s="5">
        <v>142.80000000000001</v>
      </c>
      <c r="E248" s="5">
        <v>165.3</v>
      </c>
      <c r="F248" s="5">
        <v>149.5</v>
      </c>
      <c r="G248" s="5">
        <v>148.69999999999999</v>
      </c>
      <c r="H248" s="5">
        <v>127.5</v>
      </c>
      <c r="I248" s="5">
        <v>144.30000000000001</v>
      </c>
      <c r="J248" s="5">
        <v>209.5</v>
      </c>
      <c r="K248" s="5">
        <v>138.80000000000001</v>
      </c>
      <c r="L248" s="5">
        <v>113.6</v>
      </c>
      <c r="M248" s="5">
        <v>149.1</v>
      </c>
      <c r="N248" s="5">
        <v>139.30000000000001</v>
      </c>
      <c r="O248" s="5">
        <v>158.30000000000001</v>
      </c>
      <c r="P248" s="5">
        <v>154.30000000000001</v>
      </c>
      <c r="Q248" s="5">
        <v>167.8</v>
      </c>
      <c r="R248" s="5">
        <v>152.6</v>
      </c>
      <c r="S248" s="5">
        <v>147.30000000000001</v>
      </c>
      <c r="T248" s="5">
        <v>151.9</v>
      </c>
      <c r="U248" s="5" t="s">
        <v>32</v>
      </c>
      <c r="V248" s="5">
        <v>149.9</v>
      </c>
      <c r="W248" s="5">
        <v>151.19999999999999</v>
      </c>
      <c r="X248" s="5">
        <v>154.80000000000001</v>
      </c>
      <c r="Y248" s="5">
        <v>135</v>
      </c>
      <c r="Z248" s="5">
        <v>149.5</v>
      </c>
      <c r="AA248" s="5">
        <v>161.1</v>
      </c>
      <c r="AB248" s="5">
        <v>140.6</v>
      </c>
      <c r="AC248" s="5">
        <v>147.1</v>
      </c>
      <c r="AD248" s="5">
        <v>152.30000000000001</v>
      </c>
    </row>
    <row r="249" spans="1:30" x14ac:dyDescent="0.3">
      <c r="A249" t="s">
        <v>33</v>
      </c>
      <c r="B249" s="3">
        <v>2019</v>
      </c>
      <c r="C249" t="s">
        <v>46</v>
      </c>
      <c r="D249" s="5">
        <v>144.9</v>
      </c>
      <c r="E249" s="5">
        <v>164.5</v>
      </c>
      <c r="F249" s="5">
        <v>153.69999999999999</v>
      </c>
      <c r="G249" s="5">
        <v>147.5</v>
      </c>
      <c r="H249" s="5">
        <v>122.7</v>
      </c>
      <c r="I249" s="5">
        <v>147.19999999999999</v>
      </c>
      <c r="J249" s="5">
        <v>231.5</v>
      </c>
      <c r="K249" s="5">
        <v>137.19999999999999</v>
      </c>
      <c r="L249" s="5">
        <v>114.7</v>
      </c>
      <c r="M249" s="5">
        <v>148</v>
      </c>
      <c r="N249" s="5">
        <v>130.80000000000001</v>
      </c>
      <c r="O249" s="5">
        <v>157.69999999999999</v>
      </c>
      <c r="P249" s="5">
        <v>156.30000000000001</v>
      </c>
      <c r="Q249" s="5">
        <v>170.4</v>
      </c>
      <c r="R249" s="5">
        <v>146.80000000000001</v>
      </c>
      <c r="S249" s="5">
        <v>132.80000000000001</v>
      </c>
      <c r="T249" s="5">
        <v>144.6</v>
      </c>
      <c r="U249" s="5">
        <v>152.80000000000001</v>
      </c>
      <c r="V249" s="5">
        <v>133.6</v>
      </c>
      <c r="W249" s="5">
        <v>139.80000000000001</v>
      </c>
      <c r="X249" s="5">
        <v>143.19999999999999</v>
      </c>
      <c r="Y249" s="5">
        <v>125.2</v>
      </c>
      <c r="Z249" s="5">
        <v>136.80000000000001</v>
      </c>
      <c r="AA249" s="5">
        <v>151.9</v>
      </c>
      <c r="AB249" s="5">
        <v>140.19999999999999</v>
      </c>
      <c r="AC249" s="5">
        <v>137.69999999999999</v>
      </c>
      <c r="AD249" s="5">
        <v>148.30000000000001</v>
      </c>
    </row>
    <row r="250" spans="1:30" x14ac:dyDescent="0.3">
      <c r="A250" t="s">
        <v>34</v>
      </c>
      <c r="B250" s="3">
        <v>2019</v>
      </c>
      <c r="C250" t="s">
        <v>46</v>
      </c>
      <c r="D250" s="5">
        <v>143.5</v>
      </c>
      <c r="E250" s="5">
        <v>165</v>
      </c>
      <c r="F250" s="5">
        <v>151.1</v>
      </c>
      <c r="G250" s="5">
        <v>148.30000000000001</v>
      </c>
      <c r="H250" s="5">
        <v>125.7</v>
      </c>
      <c r="I250" s="5">
        <v>145.69999999999999</v>
      </c>
      <c r="J250" s="5">
        <v>217</v>
      </c>
      <c r="K250" s="5">
        <v>138.30000000000001</v>
      </c>
      <c r="L250" s="5">
        <v>114</v>
      </c>
      <c r="M250" s="5">
        <v>148.69999999999999</v>
      </c>
      <c r="N250" s="5">
        <v>135.80000000000001</v>
      </c>
      <c r="O250" s="5">
        <v>158</v>
      </c>
      <c r="P250" s="5">
        <v>155</v>
      </c>
      <c r="Q250" s="5">
        <v>168.5</v>
      </c>
      <c r="R250" s="5">
        <v>150.30000000000001</v>
      </c>
      <c r="S250" s="5">
        <v>141.30000000000001</v>
      </c>
      <c r="T250" s="5">
        <v>149</v>
      </c>
      <c r="U250" s="5">
        <v>152.80000000000001</v>
      </c>
      <c r="V250" s="5">
        <v>143.69999999999999</v>
      </c>
      <c r="W250" s="5">
        <v>145.80000000000001</v>
      </c>
      <c r="X250" s="5">
        <v>150.4</v>
      </c>
      <c r="Y250" s="5">
        <v>129.80000000000001</v>
      </c>
      <c r="Z250" s="5">
        <v>142.30000000000001</v>
      </c>
      <c r="AA250" s="5">
        <v>155.69999999999999</v>
      </c>
      <c r="AB250" s="5">
        <v>140.4</v>
      </c>
      <c r="AC250" s="5">
        <v>142.5</v>
      </c>
      <c r="AD250" s="5">
        <v>150.4</v>
      </c>
    </row>
    <row r="251" spans="1:30" x14ac:dyDescent="0.3">
      <c r="A251" t="s">
        <v>30</v>
      </c>
      <c r="B251" s="3">
        <v>2020</v>
      </c>
      <c r="C251" t="s">
        <v>31</v>
      </c>
      <c r="D251" s="5">
        <v>143.69999999999999</v>
      </c>
      <c r="E251" s="5">
        <v>167.3</v>
      </c>
      <c r="F251" s="5">
        <v>153.5</v>
      </c>
      <c r="G251" s="5">
        <v>150.5</v>
      </c>
      <c r="H251" s="5">
        <v>132</v>
      </c>
      <c r="I251" s="5">
        <v>142.19999999999999</v>
      </c>
      <c r="J251" s="5">
        <v>191.5</v>
      </c>
      <c r="K251" s="5">
        <v>141.1</v>
      </c>
      <c r="L251" s="5">
        <v>113.8</v>
      </c>
      <c r="M251" s="5">
        <v>151.6</v>
      </c>
      <c r="N251" s="5">
        <v>139.69999999999999</v>
      </c>
      <c r="O251" s="5">
        <v>158.69999999999999</v>
      </c>
      <c r="P251" s="5">
        <v>153</v>
      </c>
      <c r="Q251" s="5">
        <v>168.6</v>
      </c>
      <c r="R251" s="5">
        <v>152.80000000000001</v>
      </c>
      <c r="S251" s="5">
        <v>147.4</v>
      </c>
      <c r="T251" s="5">
        <v>152.1</v>
      </c>
      <c r="U251" s="5" t="s">
        <v>32</v>
      </c>
      <c r="V251" s="5">
        <v>150.4</v>
      </c>
      <c r="W251" s="5">
        <v>151.69999999999999</v>
      </c>
      <c r="X251" s="5">
        <v>155.69999999999999</v>
      </c>
      <c r="Y251" s="5">
        <v>136.30000000000001</v>
      </c>
      <c r="Z251" s="5">
        <v>150.1</v>
      </c>
      <c r="AA251" s="5">
        <v>161.69999999999999</v>
      </c>
      <c r="AB251" s="5">
        <v>142.5</v>
      </c>
      <c r="AC251" s="5">
        <v>148.1</v>
      </c>
      <c r="AD251" s="5">
        <v>151.9</v>
      </c>
    </row>
    <row r="252" spans="1:30" x14ac:dyDescent="0.3">
      <c r="A252" t="s">
        <v>33</v>
      </c>
      <c r="B252" s="3">
        <v>2020</v>
      </c>
      <c r="C252" t="s">
        <v>31</v>
      </c>
      <c r="D252" s="5">
        <v>145.6</v>
      </c>
      <c r="E252" s="5">
        <v>167.6</v>
      </c>
      <c r="F252" s="5">
        <v>157</v>
      </c>
      <c r="G252" s="5">
        <v>149.30000000000001</v>
      </c>
      <c r="H252" s="5">
        <v>126.3</v>
      </c>
      <c r="I252" s="5">
        <v>144.4</v>
      </c>
      <c r="J252" s="5">
        <v>207.8</v>
      </c>
      <c r="K252" s="5">
        <v>139.1</v>
      </c>
      <c r="L252" s="5">
        <v>114.8</v>
      </c>
      <c r="M252" s="5">
        <v>149.5</v>
      </c>
      <c r="N252" s="5">
        <v>131.1</v>
      </c>
      <c r="O252" s="5">
        <v>158.5</v>
      </c>
      <c r="P252" s="5">
        <v>154.4</v>
      </c>
      <c r="Q252" s="5">
        <v>170.8</v>
      </c>
      <c r="R252" s="5">
        <v>147</v>
      </c>
      <c r="S252" s="5">
        <v>133.19999999999999</v>
      </c>
      <c r="T252" s="5">
        <v>144.9</v>
      </c>
      <c r="U252" s="5">
        <v>153.9</v>
      </c>
      <c r="V252" s="5">
        <v>135.1</v>
      </c>
      <c r="W252" s="5">
        <v>140.1</v>
      </c>
      <c r="X252" s="5">
        <v>143.80000000000001</v>
      </c>
      <c r="Y252" s="5">
        <v>126.1</v>
      </c>
      <c r="Z252" s="5">
        <v>137.19999999999999</v>
      </c>
      <c r="AA252" s="5">
        <v>152.1</v>
      </c>
      <c r="AB252" s="5">
        <v>142.1</v>
      </c>
      <c r="AC252" s="5">
        <v>138.4</v>
      </c>
      <c r="AD252" s="5">
        <v>148.19999999999999</v>
      </c>
    </row>
    <row r="253" spans="1:30" x14ac:dyDescent="0.3">
      <c r="A253" t="s">
        <v>34</v>
      </c>
      <c r="B253" s="3">
        <v>2020</v>
      </c>
      <c r="C253" t="s">
        <v>31</v>
      </c>
      <c r="D253" s="5">
        <v>144.30000000000001</v>
      </c>
      <c r="E253" s="5">
        <v>167.4</v>
      </c>
      <c r="F253" s="5">
        <v>154.9</v>
      </c>
      <c r="G253" s="5">
        <v>150.1</v>
      </c>
      <c r="H253" s="5">
        <v>129.9</v>
      </c>
      <c r="I253" s="5">
        <v>143.19999999999999</v>
      </c>
      <c r="J253" s="5">
        <v>197</v>
      </c>
      <c r="K253" s="5">
        <v>140.4</v>
      </c>
      <c r="L253" s="5">
        <v>114.1</v>
      </c>
      <c r="M253" s="5">
        <v>150.9</v>
      </c>
      <c r="N253" s="5">
        <v>136.1</v>
      </c>
      <c r="O253" s="5">
        <v>158.6</v>
      </c>
      <c r="P253" s="5">
        <v>153.5</v>
      </c>
      <c r="Q253" s="5">
        <v>169.2</v>
      </c>
      <c r="R253" s="5">
        <v>150.5</v>
      </c>
      <c r="S253" s="5">
        <v>141.5</v>
      </c>
      <c r="T253" s="5">
        <v>149.19999999999999</v>
      </c>
      <c r="U253" s="5">
        <v>153.9</v>
      </c>
      <c r="V253" s="5">
        <v>144.6</v>
      </c>
      <c r="W253" s="5">
        <v>146.19999999999999</v>
      </c>
      <c r="X253" s="5">
        <v>151.19999999999999</v>
      </c>
      <c r="Y253" s="5">
        <v>130.9</v>
      </c>
      <c r="Z253" s="5">
        <v>142.80000000000001</v>
      </c>
      <c r="AA253" s="5">
        <v>156.1</v>
      </c>
      <c r="AB253" s="5">
        <v>142.30000000000001</v>
      </c>
      <c r="AC253" s="5">
        <v>143.4</v>
      </c>
      <c r="AD253" s="5">
        <v>150.19999999999999</v>
      </c>
    </row>
    <row r="254" spans="1:30" x14ac:dyDescent="0.3">
      <c r="A254" t="s">
        <v>30</v>
      </c>
      <c r="B254" s="3">
        <v>2020</v>
      </c>
      <c r="C254" t="s">
        <v>35</v>
      </c>
      <c r="D254" s="5">
        <v>144.19999999999999</v>
      </c>
      <c r="E254" s="5">
        <v>167.5</v>
      </c>
      <c r="F254" s="5">
        <v>150.9</v>
      </c>
      <c r="G254" s="5">
        <v>150.9</v>
      </c>
      <c r="H254" s="5">
        <v>133.69999999999999</v>
      </c>
      <c r="I254" s="5">
        <v>140.69999999999999</v>
      </c>
      <c r="J254" s="5">
        <v>165.1</v>
      </c>
      <c r="K254" s="5">
        <v>141.80000000000001</v>
      </c>
      <c r="L254" s="5">
        <v>113.1</v>
      </c>
      <c r="M254" s="5">
        <v>152.80000000000001</v>
      </c>
      <c r="N254" s="5">
        <v>140.1</v>
      </c>
      <c r="O254" s="5">
        <v>159.19999999999999</v>
      </c>
      <c r="P254" s="5">
        <v>149.80000000000001</v>
      </c>
      <c r="Q254" s="5">
        <v>169.4</v>
      </c>
      <c r="R254" s="5">
        <v>153</v>
      </c>
      <c r="S254" s="5">
        <v>147.5</v>
      </c>
      <c r="T254" s="5">
        <v>152.30000000000001</v>
      </c>
      <c r="U254" s="5" t="s">
        <v>32</v>
      </c>
      <c r="V254" s="5">
        <v>152.30000000000001</v>
      </c>
      <c r="W254" s="5">
        <v>151.80000000000001</v>
      </c>
      <c r="X254" s="5">
        <v>156.19999999999999</v>
      </c>
      <c r="Y254" s="5">
        <v>136</v>
      </c>
      <c r="Z254" s="5">
        <v>150.4</v>
      </c>
      <c r="AA254" s="5">
        <v>161.9</v>
      </c>
      <c r="AB254" s="5">
        <v>143.4</v>
      </c>
      <c r="AC254" s="5">
        <v>148.4</v>
      </c>
      <c r="AD254" s="5">
        <v>150.4</v>
      </c>
    </row>
    <row r="255" spans="1:30" x14ac:dyDescent="0.3">
      <c r="A255" t="s">
        <v>33</v>
      </c>
      <c r="B255" s="3">
        <v>2020</v>
      </c>
      <c r="C255" t="s">
        <v>35</v>
      </c>
      <c r="D255" s="5">
        <v>146.19999999999999</v>
      </c>
      <c r="E255" s="5">
        <v>167.6</v>
      </c>
      <c r="F255" s="5">
        <v>153.1</v>
      </c>
      <c r="G255" s="5">
        <v>150.69999999999999</v>
      </c>
      <c r="H255" s="5">
        <v>127.4</v>
      </c>
      <c r="I255" s="5">
        <v>143.1</v>
      </c>
      <c r="J255" s="5">
        <v>181.7</v>
      </c>
      <c r="K255" s="5">
        <v>139.6</v>
      </c>
      <c r="L255" s="5">
        <v>114.6</v>
      </c>
      <c r="M255" s="5">
        <v>150.4</v>
      </c>
      <c r="N255" s="5">
        <v>131.5</v>
      </c>
      <c r="O255" s="5">
        <v>159</v>
      </c>
      <c r="P255" s="5">
        <v>151.69999999999999</v>
      </c>
      <c r="Q255" s="5">
        <v>172</v>
      </c>
      <c r="R255" s="5">
        <v>147.30000000000001</v>
      </c>
      <c r="S255" s="5">
        <v>133.5</v>
      </c>
      <c r="T255" s="5">
        <v>145.19999999999999</v>
      </c>
      <c r="U255" s="5">
        <v>154.80000000000001</v>
      </c>
      <c r="V255" s="5">
        <v>138.9</v>
      </c>
      <c r="W255" s="5">
        <v>140.4</v>
      </c>
      <c r="X255" s="5">
        <v>144.4</v>
      </c>
      <c r="Y255" s="5">
        <v>125.2</v>
      </c>
      <c r="Z255" s="5">
        <v>137.69999999999999</v>
      </c>
      <c r="AA255" s="5">
        <v>152.19999999999999</v>
      </c>
      <c r="AB255" s="5">
        <v>143.5</v>
      </c>
      <c r="AC255" s="5">
        <v>138.4</v>
      </c>
      <c r="AD255" s="5">
        <v>147.69999999999999</v>
      </c>
    </row>
    <row r="256" spans="1:30" x14ac:dyDescent="0.3">
      <c r="A256" t="s">
        <v>34</v>
      </c>
      <c r="B256" s="3">
        <v>2020</v>
      </c>
      <c r="C256" t="s">
        <v>35</v>
      </c>
      <c r="D256" s="5">
        <v>144.80000000000001</v>
      </c>
      <c r="E256" s="5">
        <v>167.5</v>
      </c>
      <c r="F256" s="5">
        <v>151.80000000000001</v>
      </c>
      <c r="G256" s="5">
        <v>150.80000000000001</v>
      </c>
      <c r="H256" s="5">
        <v>131.4</v>
      </c>
      <c r="I256" s="5">
        <v>141.80000000000001</v>
      </c>
      <c r="J256" s="5">
        <v>170.7</v>
      </c>
      <c r="K256" s="5">
        <v>141.1</v>
      </c>
      <c r="L256" s="5">
        <v>113.6</v>
      </c>
      <c r="M256" s="5">
        <v>152</v>
      </c>
      <c r="N256" s="5">
        <v>136.5</v>
      </c>
      <c r="O256" s="5">
        <v>159.1</v>
      </c>
      <c r="P256" s="5">
        <v>150.5</v>
      </c>
      <c r="Q256" s="5">
        <v>170.1</v>
      </c>
      <c r="R256" s="5">
        <v>150.80000000000001</v>
      </c>
      <c r="S256" s="5">
        <v>141.69999999999999</v>
      </c>
      <c r="T256" s="5">
        <v>149.5</v>
      </c>
      <c r="U256" s="5">
        <v>154.80000000000001</v>
      </c>
      <c r="V256" s="5">
        <v>147.19999999999999</v>
      </c>
      <c r="W256" s="5">
        <v>146.4</v>
      </c>
      <c r="X256" s="5">
        <v>151.69999999999999</v>
      </c>
      <c r="Y256" s="5">
        <v>130.30000000000001</v>
      </c>
      <c r="Z256" s="5">
        <v>143.19999999999999</v>
      </c>
      <c r="AA256" s="5">
        <v>156.19999999999999</v>
      </c>
      <c r="AB256" s="5">
        <v>143.4</v>
      </c>
      <c r="AC256" s="5">
        <v>143.6</v>
      </c>
      <c r="AD256" s="5">
        <v>149.1</v>
      </c>
    </row>
    <row r="257" spans="1:30" x14ac:dyDescent="0.3">
      <c r="A257" t="s">
        <v>30</v>
      </c>
      <c r="B257" s="3">
        <v>2020</v>
      </c>
      <c r="C257" t="s">
        <v>36</v>
      </c>
      <c r="D257" s="5">
        <v>144.4</v>
      </c>
      <c r="E257" s="5">
        <v>166.8</v>
      </c>
      <c r="F257" s="5">
        <v>147.6</v>
      </c>
      <c r="G257" s="5">
        <v>151.69999999999999</v>
      </c>
      <c r="H257" s="5">
        <v>133.30000000000001</v>
      </c>
      <c r="I257" s="5">
        <v>141.80000000000001</v>
      </c>
      <c r="J257" s="5">
        <v>152.30000000000001</v>
      </c>
      <c r="K257" s="5">
        <v>141.80000000000001</v>
      </c>
      <c r="L257" s="5">
        <v>112.6</v>
      </c>
      <c r="M257" s="5">
        <v>154</v>
      </c>
      <c r="N257" s="5">
        <v>140.1</v>
      </c>
      <c r="O257" s="5">
        <v>160</v>
      </c>
      <c r="P257" s="5">
        <v>148.19999999999999</v>
      </c>
      <c r="Q257" s="5">
        <v>170.5</v>
      </c>
      <c r="R257" s="5">
        <v>153.4</v>
      </c>
      <c r="S257" s="5">
        <v>147.6</v>
      </c>
      <c r="T257" s="5">
        <v>152.5</v>
      </c>
      <c r="U257" s="5" t="s">
        <v>32</v>
      </c>
      <c r="V257" s="5">
        <v>153.4</v>
      </c>
      <c r="W257" s="5">
        <v>151.5</v>
      </c>
      <c r="X257" s="5">
        <v>156.69999999999999</v>
      </c>
      <c r="Y257" s="5">
        <v>135.80000000000001</v>
      </c>
      <c r="Z257" s="5">
        <v>151.19999999999999</v>
      </c>
      <c r="AA257" s="5">
        <v>161.19999999999999</v>
      </c>
      <c r="AB257" s="5">
        <v>145.1</v>
      </c>
      <c r="AC257" s="5">
        <v>148.6</v>
      </c>
      <c r="AD257" s="5">
        <v>149.80000000000001</v>
      </c>
    </row>
    <row r="258" spans="1:30" x14ac:dyDescent="0.3">
      <c r="A258" t="s">
        <v>33</v>
      </c>
      <c r="B258" s="3">
        <v>2020</v>
      </c>
      <c r="C258" t="s">
        <v>36</v>
      </c>
      <c r="D258" s="5">
        <v>146.5</v>
      </c>
      <c r="E258" s="5">
        <v>167.5</v>
      </c>
      <c r="F258" s="5">
        <v>148.9</v>
      </c>
      <c r="G258" s="5">
        <v>151.1</v>
      </c>
      <c r="H258" s="5">
        <v>127.5</v>
      </c>
      <c r="I258" s="5">
        <v>143.30000000000001</v>
      </c>
      <c r="J258" s="5">
        <v>167</v>
      </c>
      <c r="K258" s="5">
        <v>139.69999999999999</v>
      </c>
      <c r="L258" s="5">
        <v>114.4</v>
      </c>
      <c r="M258" s="5">
        <v>151.5</v>
      </c>
      <c r="N258" s="5">
        <v>131.9</v>
      </c>
      <c r="O258" s="5">
        <v>159.1</v>
      </c>
      <c r="P258" s="5">
        <v>150.1</v>
      </c>
      <c r="Q258" s="5">
        <v>173.3</v>
      </c>
      <c r="R258" s="5">
        <v>147.69999999999999</v>
      </c>
      <c r="S258" s="5">
        <v>133.80000000000001</v>
      </c>
      <c r="T258" s="5">
        <v>145.6</v>
      </c>
      <c r="U258" s="5">
        <v>154.5</v>
      </c>
      <c r="V258" s="5">
        <v>141.4</v>
      </c>
      <c r="W258" s="5">
        <v>140.80000000000001</v>
      </c>
      <c r="X258" s="5">
        <v>145</v>
      </c>
      <c r="Y258" s="5">
        <v>124.6</v>
      </c>
      <c r="Z258" s="5">
        <v>137.9</v>
      </c>
      <c r="AA258" s="5">
        <v>152.5</v>
      </c>
      <c r="AB258" s="5">
        <v>145.30000000000001</v>
      </c>
      <c r="AC258" s="5">
        <v>138.69999999999999</v>
      </c>
      <c r="AD258" s="5">
        <v>147.30000000000001</v>
      </c>
    </row>
    <row r="259" spans="1:30" x14ac:dyDescent="0.3">
      <c r="A259" t="s">
        <v>34</v>
      </c>
      <c r="B259" s="3">
        <v>2020</v>
      </c>
      <c r="C259" t="s">
        <v>36</v>
      </c>
      <c r="D259" s="5">
        <v>145.1</v>
      </c>
      <c r="E259" s="5">
        <v>167</v>
      </c>
      <c r="F259" s="5">
        <v>148.1</v>
      </c>
      <c r="G259" s="5">
        <v>151.5</v>
      </c>
      <c r="H259" s="5">
        <v>131.19999999999999</v>
      </c>
      <c r="I259" s="5">
        <v>142.5</v>
      </c>
      <c r="J259" s="5">
        <v>157.30000000000001</v>
      </c>
      <c r="K259" s="5">
        <v>141.1</v>
      </c>
      <c r="L259" s="5">
        <v>113.2</v>
      </c>
      <c r="M259" s="5">
        <v>153.19999999999999</v>
      </c>
      <c r="N259" s="5">
        <v>136.69999999999999</v>
      </c>
      <c r="O259" s="5">
        <v>159.6</v>
      </c>
      <c r="P259" s="5">
        <v>148.9</v>
      </c>
      <c r="Q259" s="5">
        <v>171.2</v>
      </c>
      <c r="R259" s="5">
        <v>151.19999999999999</v>
      </c>
      <c r="S259" s="5">
        <v>141.9</v>
      </c>
      <c r="T259" s="5">
        <v>149.80000000000001</v>
      </c>
      <c r="U259" s="5">
        <v>154.5</v>
      </c>
      <c r="V259" s="5">
        <v>148.9</v>
      </c>
      <c r="W259" s="5">
        <v>146.4</v>
      </c>
      <c r="X259" s="5">
        <v>152.30000000000001</v>
      </c>
      <c r="Y259" s="5">
        <v>129.9</v>
      </c>
      <c r="Z259" s="5">
        <v>143.69999999999999</v>
      </c>
      <c r="AA259" s="5">
        <v>156.1</v>
      </c>
      <c r="AB259" s="5">
        <v>145.19999999999999</v>
      </c>
      <c r="AC259" s="5">
        <v>143.80000000000001</v>
      </c>
      <c r="AD259" s="5">
        <v>148.6</v>
      </c>
    </row>
    <row r="260" spans="1:30" x14ac:dyDescent="0.3">
      <c r="A260" t="s">
        <v>30</v>
      </c>
      <c r="B260" s="3">
        <v>2020</v>
      </c>
      <c r="C260" t="s">
        <v>37</v>
      </c>
      <c r="D260" s="5">
        <v>147.19999999999999</v>
      </c>
      <c r="E260" s="5">
        <v>136.69999999999999</v>
      </c>
      <c r="F260" s="5">
        <v>146.9</v>
      </c>
      <c r="G260" s="5">
        <v>155.6</v>
      </c>
      <c r="H260" s="5">
        <v>137.1</v>
      </c>
      <c r="I260" s="5">
        <v>147.30000000000001</v>
      </c>
      <c r="J260" s="5">
        <v>162.69999999999999</v>
      </c>
      <c r="K260" s="5">
        <v>150.19999999999999</v>
      </c>
      <c r="L260" s="5">
        <v>119.8</v>
      </c>
      <c r="M260" s="5">
        <v>158.69999999999999</v>
      </c>
      <c r="N260" s="5">
        <v>139.19999999999999</v>
      </c>
      <c r="O260" s="5" t="s">
        <v>32</v>
      </c>
      <c r="P260" s="5">
        <v>150.1</v>
      </c>
      <c r="Q260" s="5" t="s">
        <v>32</v>
      </c>
      <c r="R260" s="5" t="s">
        <v>32</v>
      </c>
      <c r="S260" s="5" t="s">
        <v>32</v>
      </c>
      <c r="T260" s="5" t="s">
        <v>32</v>
      </c>
      <c r="U260" s="5" t="s">
        <v>32</v>
      </c>
      <c r="V260" s="5">
        <v>148.4</v>
      </c>
      <c r="W260" s="5" t="s">
        <v>32</v>
      </c>
      <c r="X260" s="5">
        <v>154.30000000000001</v>
      </c>
      <c r="Y260" s="5" t="s">
        <v>32</v>
      </c>
      <c r="Z260" s="5" t="s">
        <v>32</v>
      </c>
      <c r="AA260" s="5" t="s">
        <v>32</v>
      </c>
      <c r="AB260" s="5" t="s">
        <v>32</v>
      </c>
      <c r="AC260" s="5" t="s">
        <v>32</v>
      </c>
      <c r="AD260" s="5" t="s">
        <v>32</v>
      </c>
    </row>
    <row r="261" spans="1:30" x14ac:dyDescent="0.3">
      <c r="A261" t="s">
        <v>33</v>
      </c>
      <c r="B261" s="3">
        <v>2020</v>
      </c>
      <c r="C261" t="s">
        <v>37</v>
      </c>
      <c r="D261" s="5">
        <v>151.80000000000001</v>
      </c>
      <c r="E261" s="5" t="s">
        <v>32</v>
      </c>
      <c r="F261" s="5">
        <v>151.9</v>
      </c>
      <c r="G261" s="5">
        <v>155.5</v>
      </c>
      <c r="H261" s="5">
        <v>131.6</v>
      </c>
      <c r="I261" s="5">
        <v>152.9</v>
      </c>
      <c r="J261" s="5">
        <v>180</v>
      </c>
      <c r="K261" s="5">
        <v>150.80000000000001</v>
      </c>
      <c r="L261" s="5">
        <v>121.2</v>
      </c>
      <c r="M261" s="5">
        <v>154</v>
      </c>
      <c r="N261" s="5">
        <v>133.5</v>
      </c>
      <c r="O261" s="5" t="s">
        <v>32</v>
      </c>
      <c r="P261" s="5">
        <v>153.5</v>
      </c>
      <c r="Q261" s="5" t="s">
        <v>32</v>
      </c>
      <c r="R261" s="5" t="s">
        <v>32</v>
      </c>
      <c r="S261" s="5" t="s">
        <v>32</v>
      </c>
      <c r="T261" s="5" t="s">
        <v>32</v>
      </c>
      <c r="U261" s="5">
        <v>155.6</v>
      </c>
      <c r="V261" s="5">
        <v>137.1</v>
      </c>
      <c r="W261" s="5" t="s">
        <v>32</v>
      </c>
      <c r="X261" s="5">
        <v>144.80000000000001</v>
      </c>
      <c r="Y261" s="5" t="s">
        <v>32</v>
      </c>
      <c r="Z261" s="5" t="s">
        <v>32</v>
      </c>
      <c r="AA261" s="5" t="s">
        <v>32</v>
      </c>
      <c r="AB261" s="5" t="s">
        <v>32</v>
      </c>
      <c r="AC261" s="5" t="s">
        <v>32</v>
      </c>
      <c r="AD261" s="5" t="s">
        <v>32</v>
      </c>
    </row>
    <row r="262" spans="1:30" x14ac:dyDescent="0.3">
      <c r="A262" t="s">
        <v>34</v>
      </c>
      <c r="B262" s="3">
        <v>2020</v>
      </c>
      <c r="C262" t="s">
        <v>37</v>
      </c>
      <c r="D262" s="5">
        <v>148.69999999999999</v>
      </c>
      <c r="E262" s="5" t="s">
        <v>32</v>
      </c>
      <c r="F262" s="5">
        <v>148.80000000000001</v>
      </c>
      <c r="G262" s="5">
        <v>155.6</v>
      </c>
      <c r="H262" s="5">
        <v>135.1</v>
      </c>
      <c r="I262" s="5">
        <v>149.9</v>
      </c>
      <c r="J262" s="5">
        <v>168.6</v>
      </c>
      <c r="K262" s="5">
        <v>150.4</v>
      </c>
      <c r="L262" s="5">
        <v>120.3</v>
      </c>
      <c r="M262" s="5">
        <v>157.1</v>
      </c>
      <c r="N262" s="5">
        <v>136.80000000000001</v>
      </c>
      <c r="O262" s="5" t="s">
        <v>32</v>
      </c>
      <c r="P262" s="5">
        <v>151.4</v>
      </c>
      <c r="Q262" s="5" t="s">
        <v>32</v>
      </c>
      <c r="R262" s="5" t="s">
        <v>32</v>
      </c>
      <c r="S262" s="5" t="s">
        <v>32</v>
      </c>
      <c r="T262" s="5" t="s">
        <v>32</v>
      </c>
      <c r="U262" s="5">
        <v>155.6</v>
      </c>
      <c r="V262" s="5">
        <v>144.1</v>
      </c>
      <c r="W262" s="5" t="s">
        <v>32</v>
      </c>
      <c r="X262" s="5">
        <v>150.69999999999999</v>
      </c>
      <c r="Y262" s="5" t="s">
        <v>32</v>
      </c>
      <c r="Z262" s="5" t="s">
        <v>32</v>
      </c>
      <c r="AA262" s="5" t="s">
        <v>32</v>
      </c>
      <c r="AB262" s="5" t="s">
        <v>32</v>
      </c>
      <c r="AC262" s="5" t="s">
        <v>32</v>
      </c>
      <c r="AD262" s="5" t="s">
        <v>32</v>
      </c>
    </row>
    <row r="263" spans="1:30" x14ac:dyDescent="0.3">
      <c r="A263" t="s">
        <v>30</v>
      </c>
      <c r="B263" s="3">
        <v>2020</v>
      </c>
      <c r="C263" t="s">
        <v>38</v>
      </c>
      <c r="D263" s="5">
        <v>136.69999999999999</v>
      </c>
      <c r="E263" s="5" t="s">
        <v>32</v>
      </c>
      <c r="F263" s="5" t="s">
        <v>32</v>
      </c>
      <c r="G263" s="5" t="s">
        <v>32</v>
      </c>
      <c r="H263" s="5" t="s">
        <v>32</v>
      </c>
      <c r="I263" s="5" t="s">
        <v>32</v>
      </c>
      <c r="J263" s="5" t="s">
        <v>32</v>
      </c>
      <c r="K263" s="5" t="s">
        <v>32</v>
      </c>
      <c r="L263" s="5" t="s">
        <v>32</v>
      </c>
      <c r="M263" s="5" t="s">
        <v>32</v>
      </c>
      <c r="N263" s="5" t="s">
        <v>32</v>
      </c>
      <c r="O263" s="5" t="s">
        <v>32</v>
      </c>
      <c r="P263" s="5" t="s">
        <v>32</v>
      </c>
      <c r="Q263" s="5" t="s">
        <v>32</v>
      </c>
      <c r="R263" s="5" t="s">
        <v>32</v>
      </c>
      <c r="S263" s="5" t="s">
        <v>32</v>
      </c>
      <c r="T263" s="5" t="s">
        <v>32</v>
      </c>
      <c r="U263" s="5" t="s">
        <v>32</v>
      </c>
      <c r="V263" s="5" t="s">
        <v>32</v>
      </c>
      <c r="W263" s="5" t="s">
        <v>32</v>
      </c>
      <c r="X263" s="5" t="s">
        <v>32</v>
      </c>
      <c r="Y263" s="5" t="s">
        <v>32</v>
      </c>
      <c r="Z263" s="5" t="s">
        <v>32</v>
      </c>
      <c r="AA263" s="5" t="s">
        <v>32</v>
      </c>
      <c r="AB263" s="5" t="s">
        <v>32</v>
      </c>
      <c r="AC263" s="5" t="s">
        <v>32</v>
      </c>
      <c r="AD263" s="5" t="s">
        <v>32</v>
      </c>
    </row>
    <row r="264" spans="1:30" x14ac:dyDescent="0.3">
      <c r="A264" t="s">
        <v>33</v>
      </c>
      <c r="B264" s="3">
        <v>2020</v>
      </c>
      <c r="C264" t="s">
        <v>38</v>
      </c>
      <c r="D264" s="5">
        <v>136.69999999999999</v>
      </c>
      <c r="E264" s="5" t="s">
        <v>32</v>
      </c>
      <c r="F264" s="5" t="s">
        <v>32</v>
      </c>
      <c r="G264" s="5" t="s">
        <v>32</v>
      </c>
      <c r="H264" s="5" t="s">
        <v>32</v>
      </c>
      <c r="I264" s="5" t="s">
        <v>32</v>
      </c>
      <c r="J264" s="5" t="s">
        <v>32</v>
      </c>
      <c r="K264" s="5" t="s">
        <v>32</v>
      </c>
      <c r="L264" s="5" t="s">
        <v>32</v>
      </c>
      <c r="M264" s="5" t="s">
        <v>32</v>
      </c>
      <c r="N264" s="5" t="s">
        <v>32</v>
      </c>
      <c r="O264" s="5" t="s">
        <v>32</v>
      </c>
      <c r="P264" s="5" t="s">
        <v>32</v>
      </c>
      <c r="Q264" s="5" t="s">
        <v>32</v>
      </c>
      <c r="R264" s="5" t="s">
        <v>32</v>
      </c>
      <c r="S264" s="5" t="s">
        <v>32</v>
      </c>
      <c r="T264" s="5" t="s">
        <v>32</v>
      </c>
      <c r="U264" s="5" t="s">
        <v>32</v>
      </c>
      <c r="V264" s="5" t="s">
        <v>32</v>
      </c>
      <c r="W264" s="5" t="s">
        <v>32</v>
      </c>
      <c r="X264" s="5" t="s">
        <v>32</v>
      </c>
      <c r="Y264" s="5" t="s">
        <v>32</v>
      </c>
      <c r="Z264" s="5" t="s">
        <v>32</v>
      </c>
      <c r="AA264" s="5" t="s">
        <v>32</v>
      </c>
      <c r="AB264" s="5" t="s">
        <v>32</v>
      </c>
      <c r="AC264" s="5" t="s">
        <v>32</v>
      </c>
      <c r="AD264" s="5" t="s">
        <v>32</v>
      </c>
    </row>
    <row r="265" spans="1:30" x14ac:dyDescent="0.3">
      <c r="A265" t="s">
        <v>34</v>
      </c>
      <c r="B265" s="3">
        <v>2020</v>
      </c>
      <c r="C265" t="s">
        <v>38</v>
      </c>
      <c r="D265" s="5">
        <v>136.69999999999999</v>
      </c>
      <c r="E265" s="5" t="s">
        <v>32</v>
      </c>
      <c r="F265" s="5" t="s">
        <v>32</v>
      </c>
      <c r="G265" s="5" t="s">
        <v>32</v>
      </c>
      <c r="H265" s="5" t="s">
        <v>32</v>
      </c>
      <c r="I265" s="5" t="s">
        <v>32</v>
      </c>
      <c r="J265" s="5" t="s">
        <v>32</v>
      </c>
      <c r="K265" s="5" t="s">
        <v>32</v>
      </c>
      <c r="L265" s="5" t="s">
        <v>32</v>
      </c>
      <c r="M265" s="5" t="s">
        <v>32</v>
      </c>
      <c r="N265" s="5" t="s">
        <v>32</v>
      </c>
      <c r="O265" s="5" t="s">
        <v>32</v>
      </c>
      <c r="P265" s="5" t="s">
        <v>32</v>
      </c>
      <c r="Q265" s="5" t="s">
        <v>32</v>
      </c>
      <c r="R265" s="5" t="s">
        <v>32</v>
      </c>
      <c r="S265" s="5" t="s">
        <v>32</v>
      </c>
      <c r="T265" s="5" t="s">
        <v>32</v>
      </c>
      <c r="U265" s="5" t="s">
        <v>32</v>
      </c>
      <c r="V265" s="5" t="s">
        <v>32</v>
      </c>
      <c r="W265" s="5" t="s">
        <v>32</v>
      </c>
      <c r="X265" s="5" t="s">
        <v>32</v>
      </c>
      <c r="Y265" s="5" t="s">
        <v>32</v>
      </c>
      <c r="Z265" s="5" t="s">
        <v>32</v>
      </c>
      <c r="AA265" s="5" t="s">
        <v>32</v>
      </c>
      <c r="AB265" s="5" t="s">
        <v>32</v>
      </c>
      <c r="AC265" s="5" t="s">
        <v>32</v>
      </c>
      <c r="AD265" s="5" t="s">
        <v>32</v>
      </c>
    </row>
    <row r="266" spans="1:30" x14ac:dyDescent="0.3">
      <c r="A266" t="s">
        <v>30</v>
      </c>
      <c r="B266" s="3">
        <v>2020</v>
      </c>
      <c r="C266" t="s">
        <v>39</v>
      </c>
      <c r="D266" s="5">
        <v>148.19999999999999</v>
      </c>
      <c r="E266" s="5">
        <v>190.3</v>
      </c>
      <c r="F266" s="5">
        <v>149.4</v>
      </c>
      <c r="G266" s="5">
        <v>153.30000000000001</v>
      </c>
      <c r="H266" s="5">
        <v>138.19999999999999</v>
      </c>
      <c r="I266" s="5">
        <v>143.19999999999999</v>
      </c>
      <c r="J266" s="5">
        <v>148.9</v>
      </c>
      <c r="K266" s="5">
        <v>150.30000000000001</v>
      </c>
      <c r="L266" s="5">
        <v>113.2</v>
      </c>
      <c r="M266" s="5">
        <v>159.80000000000001</v>
      </c>
      <c r="N266" s="5">
        <v>142.1</v>
      </c>
      <c r="O266" s="5">
        <v>161.80000000000001</v>
      </c>
      <c r="P266" s="5">
        <v>152.30000000000001</v>
      </c>
      <c r="Q266" s="5">
        <v>182.4</v>
      </c>
      <c r="R266" s="5">
        <v>154.69999999999999</v>
      </c>
      <c r="S266" s="5">
        <v>150</v>
      </c>
      <c r="T266" s="5">
        <v>154.1</v>
      </c>
      <c r="U266" s="5" t="s">
        <v>32</v>
      </c>
      <c r="V266" s="5">
        <v>144.9</v>
      </c>
      <c r="W266" s="5">
        <v>151.69999999999999</v>
      </c>
      <c r="X266" s="5">
        <v>158.19999999999999</v>
      </c>
      <c r="Y266" s="5">
        <v>141.4</v>
      </c>
      <c r="Z266" s="5">
        <v>153.19999999999999</v>
      </c>
      <c r="AA266" s="5">
        <v>161.80000000000001</v>
      </c>
      <c r="AB266" s="5">
        <v>151.19999999999999</v>
      </c>
      <c r="AC266" s="5">
        <v>151.69999999999999</v>
      </c>
      <c r="AD266" s="5">
        <v>152.69999999999999</v>
      </c>
    </row>
    <row r="267" spans="1:30" x14ac:dyDescent="0.3">
      <c r="A267" t="s">
        <v>33</v>
      </c>
      <c r="B267" s="3">
        <v>2020</v>
      </c>
      <c r="C267" t="s">
        <v>39</v>
      </c>
      <c r="D267" s="5">
        <v>152.69999999999999</v>
      </c>
      <c r="E267" s="5">
        <v>197</v>
      </c>
      <c r="F267" s="5">
        <v>154.6</v>
      </c>
      <c r="G267" s="5">
        <v>153.4</v>
      </c>
      <c r="H267" s="5">
        <v>132.9</v>
      </c>
      <c r="I267" s="5">
        <v>151.80000000000001</v>
      </c>
      <c r="J267" s="5">
        <v>171.2</v>
      </c>
      <c r="K267" s="5">
        <v>152</v>
      </c>
      <c r="L267" s="5">
        <v>116.3</v>
      </c>
      <c r="M267" s="5">
        <v>158.80000000000001</v>
      </c>
      <c r="N267" s="5">
        <v>135.6</v>
      </c>
      <c r="O267" s="5">
        <v>161.69999999999999</v>
      </c>
      <c r="P267" s="5">
        <v>157</v>
      </c>
      <c r="Q267" s="5">
        <v>186.7</v>
      </c>
      <c r="R267" s="5">
        <v>149.1</v>
      </c>
      <c r="S267" s="5">
        <v>136.6</v>
      </c>
      <c r="T267" s="5">
        <v>147.19999999999999</v>
      </c>
      <c r="U267" s="5">
        <v>154.69999999999999</v>
      </c>
      <c r="V267" s="5">
        <v>137.1</v>
      </c>
      <c r="W267" s="5">
        <v>140.4</v>
      </c>
      <c r="X267" s="5">
        <v>148.1</v>
      </c>
      <c r="Y267" s="5">
        <v>129.30000000000001</v>
      </c>
      <c r="Z267" s="5">
        <v>144.5</v>
      </c>
      <c r="AA267" s="5">
        <v>152.5</v>
      </c>
      <c r="AB267" s="5">
        <v>152.19999999999999</v>
      </c>
      <c r="AC267" s="5">
        <v>142</v>
      </c>
      <c r="AD267" s="5">
        <v>150.80000000000001</v>
      </c>
    </row>
    <row r="268" spans="1:30" x14ac:dyDescent="0.3">
      <c r="A268" t="s">
        <v>34</v>
      </c>
      <c r="B268" s="3">
        <v>2020</v>
      </c>
      <c r="C268" t="s">
        <v>39</v>
      </c>
      <c r="D268" s="5">
        <v>149.6</v>
      </c>
      <c r="E268" s="5">
        <v>192.7</v>
      </c>
      <c r="F268" s="5">
        <v>151.4</v>
      </c>
      <c r="G268" s="5">
        <v>153.30000000000001</v>
      </c>
      <c r="H268" s="5">
        <v>136.30000000000001</v>
      </c>
      <c r="I268" s="5">
        <v>147.19999999999999</v>
      </c>
      <c r="J268" s="5">
        <v>156.5</v>
      </c>
      <c r="K268" s="5">
        <v>150.9</v>
      </c>
      <c r="L268" s="5">
        <v>114.2</v>
      </c>
      <c r="M268" s="5">
        <v>159.5</v>
      </c>
      <c r="N268" s="5">
        <v>139.4</v>
      </c>
      <c r="O268" s="5">
        <v>161.80000000000001</v>
      </c>
      <c r="P268" s="5">
        <v>154</v>
      </c>
      <c r="Q268" s="5">
        <v>183.5</v>
      </c>
      <c r="R268" s="5">
        <v>152.5</v>
      </c>
      <c r="S268" s="5">
        <v>144.4</v>
      </c>
      <c r="T268" s="5">
        <v>151.4</v>
      </c>
      <c r="U268" s="5">
        <v>154.69999999999999</v>
      </c>
      <c r="V268" s="5">
        <v>141.9</v>
      </c>
      <c r="W268" s="5">
        <v>146.4</v>
      </c>
      <c r="X268" s="5">
        <v>154.4</v>
      </c>
      <c r="Y268" s="5">
        <v>135</v>
      </c>
      <c r="Z268" s="5">
        <v>148.30000000000001</v>
      </c>
      <c r="AA268" s="5">
        <v>156.4</v>
      </c>
      <c r="AB268" s="5">
        <v>151.6</v>
      </c>
      <c r="AC268" s="5">
        <v>147</v>
      </c>
      <c r="AD268" s="5">
        <v>151.80000000000001</v>
      </c>
    </row>
    <row r="269" spans="1:30" x14ac:dyDescent="0.3">
      <c r="A269" t="s">
        <v>30</v>
      </c>
      <c r="B269" s="3">
        <v>2020</v>
      </c>
      <c r="C269" t="s">
        <v>40</v>
      </c>
      <c r="D269" s="5">
        <v>148.19999999999999</v>
      </c>
      <c r="E269" s="5">
        <v>190.3</v>
      </c>
      <c r="F269" s="5">
        <v>149.4</v>
      </c>
      <c r="G269" s="5">
        <v>153.30000000000001</v>
      </c>
      <c r="H269" s="5">
        <v>138.19999999999999</v>
      </c>
      <c r="I269" s="5">
        <v>143.19999999999999</v>
      </c>
      <c r="J269" s="5">
        <v>148.9</v>
      </c>
      <c r="K269" s="5">
        <v>150.30000000000001</v>
      </c>
      <c r="L269" s="5">
        <v>113.2</v>
      </c>
      <c r="M269" s="5">
        <v>159.80000000000001</v>
      </c>
      <c r="N269" s="5">
        <v>142.1</v>
      </c>
      <c r="O269" s="5">
        <v>161.80000000000001</v>
      </c>
      <c r="P269" s="5">
        <v>152.30000000000001</v>
      </c>
      <c r="Q269" s="5">
        <v>182.4</v>
      </c>
      <c r="R269" s="5">
        <v>154.69999999999999</v>
      </c>
      <c r="S269" s="5">
        <v>150</v>
      </c>
      <c r="T269" s="5">
        <v>154.1</v>
      </c>
      <c r="U269" s="5" t="s">
        <v>32</v>
      </c>
      <c r="V269" s="5">
        <v>144.9</v>
      </c>
      <c r="W269" s="5">
        <v>151.69999999999999</v>
      </c>
      <c r="X269" s="5">
        <v>158.19999999999999</v>
      </c>
      <c r="Y269" s="5">
        <v>141.4</v>
      </c>
      <c r="Z269" s="5">
        <v>153.19999999999999</v>
      </c>
      <c r="AA269" s="5">
        <v>161.80000000000001</v>
      </c>
      <c r="AB269" s="5">
        <v>151.19999999999999</v>
      </c>
      <c r="AC269" s="5">
        <v>151.69999999999999</v>
      </c>
      <c r="AD269" s="5">
        <v>152.69999999999999</v>
      </c>
    </row>
    <row r="270" spans="1:30" x14ac:dyDescent="0.3">
      <c r="A270" t="s">
        <v>33</v>
      </c>
      <c r="B270" s="3">
        <v>2020</v>
      </c>
      <c r="C270" t="s">
        <v>40</v>
      </c>
      <c r="D270" s="5">
        <v>152.69999999999999</v>
      </c>
      <c r="E270" s="5">
        <v>197</v>
      </c>
      <c r="F270" s="5">
        <v>154.6</v>
      </c>
      <c r="G270" s="5">
        <v>153.4</v>
      </c>
      <c r="H270" s="5">
        <v>132.9</v>
      </c>
      <c r="I270" s="5">
        <v>151.80000000000001</v>
      </c>
      <c r="J270" s="5">
        <v>171.2</v>
      </c>
      <c r="K270" s="5">
        <v>152</v>
      </c>
      <c r="L270" s="5">
        <v>116.3</v>
      </c>
      <c r="M270" s="5">
        <v>158.80000000000001</v>
      </c>
      <c r="N270" s="5">
        <v>135.6</v>
      </c>
      <c r="O270" s="5">
        <v>161.69999999999999</v>
      </c>
      <c r="P270" s="5">
        <v>157</v>
      </c>
      <c r="Q270" s="5">
        <v>186.7</v>
      </c>
      <c r="R270" s="5">
        <v>149.1</v>
      </c>
      <c r="S270" s="5">
        <v>136.6</v>
      </c>
      <c r="T270" s="5">
        <v>147.19999999999999</v>
      </c>
      <c r="U270" s="5">
        <v>154.69999999999999</v>
      </c>
      <c r="V270" s="5">
        <v>137.1</v>
      </c>
      <c r="W270" s="5">
        <v>140.4</v>
      </c>
      <c r="X270" s="5">
        <v>148.1</v>
      </c>
      <c r="Y270" s="5">
        <v>129.30000000000001</v>
      </c>
      <c r="Z270" s="5">
        <v>144.5</v>
      </c>
      <c r="AA270" s="5">
        <v>152.5</v>
      </c>
      <c r="AB270" s="5">
        <v>152.19999999999999</v>
      </c>
      <c r="AC270" s="5">
        <v>142</v>
      </c>
      <c r="AD270" s="5">
        <v>150.80000000000001</v>
      </c>
    </row>
    <row r="271" spans="1:30" x14ac:dyDescent="0.3">
      <c r="A271" t="s">
        <v>34</v>
      </c>
      <c r="B271" s="3">
        <v>2020</v>
      </c>
      <c r="C271" t="s">
        <v>40</v>
      </c>
      <c r="D271" s="5">
        <v>149.6</v>
      </c>
      <c r="E271" s="5">
        <v>192.7</v>
      </c>
      <c r="F271" s="5">
        <v>151.4</v>
      </c>
      <c r="G271" s="5">
        <v>153.30000000000001</v>
      </c>
      <c r="H271" s="5">
        <v>136.30000000000001</v>
      </c>
      <c r="I271" s="5">
        <v>147.19999999999999</v>
      </c>
      <c r="J271" s="5">
        <v>156.5</v>
      </c>
      <c r="K271" s="5">
        <v>150.9</v>
      </c>
      <c r="L271" s="5">
        <v>114.2</v>
      </c>
      <c r="M271" s="5">
        <v>159.5</v>
      </c>
      <c r="N271" s="5">
        <v>139.4</v>
      </c>
      <c r="O271" s="5">
        <v>161.80000000000001</v>
      </c>
      <c r="P271" s="5">
        <v>154</v>
      </c>
      <c r="Q271" s="5">
        <v>183.5</v>
      </c>
      <c r="R271" s="5">
        <v>152.5</v>
      </c>
      <c r="S271" s="5">
        <v>144.4</v>
      </c>
      <c r="T271" s="5">
        <v>151.4</v>
      </c>
      <c r="U271" s="5">
        <v>154.69999999999999</v>
      </c>
      <c r="V271" s="5">
        <v>141.9</v>
      </c>
      <c r="W271" s="5">
        <v>146.4</v>
      </c>
      <c r="X271" s="5">
        <v>154.4</v>
      </c>
      <c r="Y271" s="5">
        <v>135</v>
      </c>
      <c r="Z271" s="5">
        <v>148.30000000000001</v>
      </c>
      <c r="AA271" s="5">
        <v>156.4</v>
      </c>
      <c r="AB271" s="5">
        <v>151.6</v>
      </c>
      <c r="AC271" s="5">
        <v>147</v>
      </c>
      <c r="AD271" s="5">
        <v>151.80000000000001</v>
      </c>
    </row>
    <row r="272" spans="1:30" x14ac:dyDescent="0.3">
      <c r="A272" t="s">
        <v>30</v>
      </c>
      <c r="B272" s="3">
        <v>2020</v>
      </c>
      <c r="C272" t="s">
        <v>41</v>
      </c>
      <c r="D272" s="5">
        <v>147.6</v>
      </c>
      <c r="E272" s="5">
        <v>187.2</v>
      </c>
      <c r="F272" s="5">
        <v>148.4</v>
      </c>
      <c r="G272" s="5">
        <v>153.30000000000001</v>
      </c>
      <c r="H272" s="5">
        <v>139.80000000000001</v>
      </c>
      <c r="I272" s="5">
        <v>146.9</v>
      </c>
      <c r="J272" s="5">
        <v>171</v>
      </c>
      <c r="K272" s="5">
        <v>149.9</v>
      </c>
      <c r="L272" s="5">
        <v>114.2</v>
      </c>
      <c r="M272" s="5">
        <v>160</v>
      </c>
      <c r="N272" s="5">
        <v>143.5</v>
      </c>
      <c r="O272" s="5">
        <v>161.5</v>
      </c>
      <c r="P272" s="5">
        <v>155.30000000000001</v>
      </c>
      <c r="Q272" s="5">
        <v>180.9</v>
      </c>
      <c r="R272" s="5">
        <v>155.1</v>
      </c>
      <c r="S272" s="5">
        <v>149.30000000000001</v>
      </c>
      <c r="T272" s="5">
        <v>154.30000000000001</v>
      </c>
      <c r="U272" s="5" t="s">
        <v>32</v>
      </c>
      <c r="V272" s="5">
        <v>145.80000000000001</v>
      </c>
      <c r="W272" s="5">
        <v>151.9</v>
      </c>
      <c r="X272" s="5">
        <v>158.80000000000001</v>
      </c>
      <c r="Y272" s="5">
        <v>143.6</v>
      </c>
      <c r="Z272" s="5">
        <v>152.19999999999999</v>
      </c>
      <c r="AA272" s="5">
        <v>162.69999999999999</v>
      </c>
      <c r="AB272" s="5">
        <v>153.6</v>
      </c>
      <c r="AC272" s="5">
        <v>153</v>
      </c>
      <c r="AD272" s="5">
        <v>154.69999999999999</v>
      </c>
    </row>
    <row r="273" spans="1:30" x14ac:dyDescent="0.3">
      <c r="A273" t="s">
        <v>33</v>
      </c>
      <c r="B273" s="3">
        <v>2020</v>
      </c>
      <c r="C273" t="s">
        <v>41</v>
      </c>
      <c r="D273" s="5">
        <v>151.6</v>
      </c>
      <c r="E273" s="5">
        <v>197.8</v>
      </c>
      <c r="F273" s="5">
        <v>154.5</v>
      </c>
      <c r="G273" s="5">
        <v>153.4</v>
      </c>
      <c r="H273" s="5">
        <v>133.4</v>
      </c>
      <c r="I273" s="5">
        <v>154.5</v>
      </c>
      <c r="J273" s="5">
        <v>191.9</v>
      </c>
      <c r="K273" s="5">
        <v>151.30000000000001</v>
      </c>
      <c r="L273" s="5">
        <v>116.8</v>
      </c>
      <c r="M273" s="5">
        <v>160</v>
      </c>
      <c r="N273" s="5">
        <v>136.5</v>
      </c>
      <c r="O273" s="5">
        <v>163.30000000000001</v>
      </c>
      <c r="P273" s="5">
        <v>159.9</v>
      </c>
      <c r="Q273" s="5">
        <v>187.2</v>
      </c>
      <c r="R273" s="5">
        <v>150</v>
      </c>
      <c r="S273" s="5">
        <v>135.19999999999999</v>
      </c>
      <c r="T273" s="5">
        <v>147.80000000000001</v>
      </c>
      <c r="U273" s="5">
        <v>155.5</v>
      </c>
      <c r="V273" s="5">
        <v>138.30000000000001</v>
      </c>
      <c r="W273" s="5">
        <v>144.5</v>
      </c>
      <c r="X273" s="5">
        <v>148.69999999999999</v>
      </c>
      <c r="Y273" s="5">
        <v>133.9</v>
      </c>
      <c r="Z273" s="5">
        <v>141.19999999999999</v>
      </c>
      <c r="AA273" s="5">
        <v>155.5</v>
      </c>
      <c r="AB273" s="5">
        <v>155.19999999999999</v>
      </c>
      <c r="AC273" s="5">
        <v>144.80000000000001</v>
      </c>
      <c r="AD273" s="5">
        <v>152.9</v>
      </c>
    </row>
    <row r="274" spans="1:30" x14ac:dyDescent="0.3">
      <c r="A274" t="s">
        <v>34</v>
      </c>
      <c r="B274" s="3">
        <v>2020</v>
      </c>
      <c r="C274" t="s">
        <v>41</v>
      </c>
      <c r="D274" s="5">
        <v>148.9</v>
      </c>
      <c r="E274" s="5">
        <v>190.9</v>
      </c>
      <c r="F274" s="5">
        <v>150.80000000000001</v>
      </c>
      <c r="G274" s="5">
        <v>153.30000000000001</v>
      </c>
      <c r="H274" s="5">
        <v>137.4</v>
      </c>
      <c r="I274" s="5">
        <v>150.4</v>
      </c>
      <c r="J274" s="5">
        <v>178.1</v>
      </c>
      <c r="K274" s="5">
        <v>150.4</v>
      </c>
      <c r="L274" s="5">
        <v>115.1</v>
      </c>
      <c r="M274" s="5">
        <v>160</v>
      </c>
      <c r="N274" s="5">
        <v>140.6</v>
      </c>
      <c r="O274" s="5">
        <v>162.30000000000001</v>
      </c>
      <c r="P274" s="5">
        <v>157</v>
      </c>
      <c r="Q274" s="5">
        <v>182.6</v>
      </c>
      <c r="R274" s="5">
        <v>153.1</v>
      </c>
      <c r="S274" s="5">
        <v>143.4</v>
      </c>
      <c r="T274" s="5">
        <v>151.69999999999999</v>
      </c>
      <c r="U274" s="5">
        <v>155.5</v>
      </c>
      <c r="V274" s="5">
        <v>143</v>
      </c>
      <c r="W274" s="5">
        <v>148.4</v>
      </c>
      <c r="X274" s="5">
        <v>155</v>
      </c>
      <c r="Y274" s="5">
        <v>138.5</v>
      </c>
      <c r="Z274" s="5">
        <v>146</v>
      </c>
      <c r="AA274" s="5">
        <v>158.5</v>
      </c>
      <c r="AB274" s="5">
        <v>154.30000000000001</v>
      </c>
      <c r="AC274" s="5">
        <v>149</v>
      </c>
      <c r="AD274" s="5">
        <v>153.9</v>
      </c>
    </row>
    <row r="275" spans="1:30" x14ac:dyDescent="0.3">
      <c r="A275" t="s">
        <v>30</v>
      </c>
      <c r="B275" s="3">
        <v>2020</v>
      </c>
      <c r="C275" t="s">
        <v>42</v>
      </c>
      <c r="D275" s="5">
        <v>146.9</v>
      </c>
      <c r="E275" s="5">
        <v>183.9</v>
      </c>
      <c r="F275" s="5">
        <v>149.5</v>
      </c>
      <c r="G275" s="5">
        <v>153.4</v>
      </c>
      <c r="H275" s="5">
        <v>140.4</v>
      </c>
      <c r="I275" s="5">
        <v>147</v>
      </c>
      <c r="J275" s="5">
        <v>178.8</v>
      </c>
      <c r="K275" s="5">
        <v>149.30000000000001</v>
      </c>
      <c r="L275" s="5">
        <v>115.1</v>
      </c>
      <c r="M275" s="5">
        <v>160</v>
      </c>
      <c r="N275" s="5">
        <v>145.4</v>
      </c>
      <c r="O275" s="5">
        <v>161.6</v>
      </c>
      <c r="P275" s="5">
        <v>156.1</v>
      </c>
      <c r="Q275" s="5">
        <v>182.9</v>
      </c>
      <c r="R275" s="5">
        <v>155.4</v>
      </c>
      <c r="S275" s="5">
        <v>149.9</v>
      </c>
      <c r="T275" s="5">
        <v>154.6</v>
      </c>
      <c r="U275" s="5" t="s">
        <v>32</v>
      </c>
      <c r="V275" s="5">
        <v>146.4</v>
      </c>
      <c r="W275" s="5">
        <v>151.6</v>
      </c>
      <c r="X275" s="5">
        <v>159.1</v>
      </c>
      <c r="Y275" s="5">
        <v>144.6</v>
      </c>
      <c r="Z275" s="5">
        <v>152.80000000000001</v>
      </c>
      <c r="AA275" s="5">
        <v>161.1</v>
      </c>
      <c r="AB275" s="5">
        <v>157.4</v>
      </c>
      <c r="AC275" s="5">
        <v>153.69999999999999</v>
      </c>
      <c r="AD275" s="5">
        <v>155.4</v>
      </c>
    </row>
    <row r="276" spans="1:30" x14ac:dyDescent="0.3">
      <c r="A276" t="s">
        <v>33</v>
      </c>
      <c r="B276" s="3">
        <v>2020</v>
      </c>
      <c r="C276" t="s">
        <v>42</v>
      </c>
      <c r="D276" s="5">
        <v>151.5</v>
      </c>
      <c r="E276" s="5">
        <v>193.1</v>
      </c>
      <c r="F276" s="5">
        <v>157.30000000000001</v>
      </c>
      <c r="G276" s="5">
        <v>153.9</v>
      </c>
      <c r="H276" s="5">
        <v>134.4</v>
      </c>
      <c r="I276" s="5">
        <v>155.4</v>
      </c>
      <c r="J276" s="5">
        <v>202</v>
      </c>
      <c r="K276" s="5">
        <v>150.80000000000001</v>
      </c>
      <c r="L276" s="5">
        <v>118.9</v>
      </c>
      <c r="M276" s="5">
        <v>160.9</v>
      </c>
      <c r="N276" s="5">
        <v>137.69999999999999</v>
      </c>
      <c r="O276" s="5">
        <v>164.4</v>
      </c>
      <c r="P276" s="5">
        <v>161.30000000000001</v>
      </c>
      <c r="Q276" s="5">
        <v>188.7</v>
      </c>
      <c r="R276" s="5">
        <v>150.19999999999999</v>
      </c>
      <c r="S276" s="5">
        <v>136.30000000000001</v>
      </c>
      <c r="T276" s="5">
        <v>148.1</v>
      </c>
      <c r="U276" s="5">
        <v>156.30000000000001</v>
      </c>
      <c r="V276" s="5">
        <v>137.19999999999999</v>
      </c>
      <c r="W276" s="5">
        <v>145.4</v>
      </c>
      <c r="X276" s="5">
        <v>150</v>
      </c>
      <c r="Y276" s="5">
        <v>135.1</v>
      </c>
      <c r="Z276" s="5">
        <v>141.80000000000001</v>
      </c>
      <c r="AA276" s="5">
        <v>154.9</v>
      </c>
      <c r="AB276" s="5">
        <v>159.80000000000001</v>
      </c>
      <c r="AC276" s="5">
        <v>146</v>
      </c>
      <c r="AD276" s="5">
        <v>154</v>
      </c>
    </row>
    <row r="277" spans="1:30" x14ac:dyDescent="0.3">
      <c r="A277" t="s">
        <v>34</v>
      </c>
      <c r="B277" s="3">
        <v>2020</v>
      </c>
      <c r="C277" t="s">
        <v>42</v>
      </c>
      <c r="D277" s="5">
        <v>148.4</v>
      </c>
      <c r="E277" s="5">
        <v>187.1</v>
      </c>
      <c r="F277" s="5">
        <v>152.5</v>
      </c>
      <c r="G277" s="5">
        <v>153.6</v>
      </c>
      <c r="H277" s="5">
        <v>138.19999999999999</v>
      </c>
      <c r="I277" s="5">
        <v>150.9</v>
      </c>
      <c r="J277" s="5">
        <v>186.7</v>
      </c>
      <c r="K277" s="5">
        <v>149.80000000000001</v>
      </c>
      <c r="L277" s="5">
        <v>116.4</v>
      </c>
      <c r="M277" s="5">
        <v>160.30000000000001</v>
      </c>
      <c r="N277" s="5">
        <v>142.19999999999999</v>
      </c>
      <c r="O277" s="5">
        <v>162.9</v>
      </c>
      <c r="P277" s="5">
        <v>158</v>
      </c>
      <c r="Q277" s="5">
        <v>184.4</v>
      </c>
      <c r="R277" s="5">
        <v>153.4</v>
      </c>
      <c r="S277" s="5">
        <v>144.30000000000001</v>
      </c>
      <c r="T277" s="5">
        <v>152</v>
      </c>
      <c r="U277" s="5">
        <v>156.30000000000001</v>
      </c>
      <c r="V277" s="5">
        <v>142.9</v>
      </c>
      <c r="W277" s="5">
        <v>148.69999999999999</v>
      </c>
      <c r="X277" s="5">
        <v>155.6</v>
      </c>
      <c r="Y277" s="5">
        <v>139.6</v>
      </c>
      <c r="Z277" s="5">
        <v>146.6</v>
      </c>
      <c r="AA277" s="5">
        <v>157.5</v>
      </c>
      <c r="AB277" s="5">
        <v>158.4</v>
      </c>
      <c r="AC277" s="5">
        <v>150</v>
      </c>
      <c r="AD277" s="5">
        <v>154.69999999999999</v>
      </c>
    </row>
    <row r="278" spans="1:30" x14ac:dyDescent="0.3">
      <c r="A278" t="s">
        <v>30</v>
      </c>
      <c r="B278" s="3">
        <v>2020</v>
      </c>
      <c r="C278" t="s">
        <v>43</v>
      </c>
      <c r="D278" s="5">
        <v>146</v>
      </c>
      <c r="E278" s="5">
        <v>186.3</v>
      </c>
      <c r="F278" s="5">
        <v>159.19999999999999</v>
      </c>
      <c r="G278" s="5">
        <v>153.6</v>
      </c>
      <c r="H278" s="5">
        <v>142.6</v>
      </c>
      <c r="I278" s="5">
        <v>147.19999999999999</v>
      </c>
      <c r="J278" s="5">
        <v>200.6</v>
      </c>
      <c r="K278" s="5">
        <v>150.30000000000001</v>
      </c>
      <c r="L278" s="5">
        <v>115.3</v>
      </c>
      <c r="M278" s="5">
        <v>160.9</v>
      </c>
      <c r="N278" s="5">
        <v>147.4</v>
      </c>
      <c r="O278" s="5">
        <v>161.9</v>
      </c>
      <c r="P278" s="5">
        <v>159.6</v>
      </c>
      <c r="Q278" s="5">
        <v>182.7</v>
      </c>
      <c r="R278" s="5">
        <v>155.69999999999999</v>
      </c>
      <c r="S278" s="5">
        <v>150.6</v>
      </c>
      <c r="T278" s="5">
        <v>155</v>
      </c>
      <c r="U278" s="5" t="s">
        <v>32</v>
      </c>
      <c r="V278" s="5">
        <v>146.80000000000001</v>
      </c>
      <c r="W278" s="5">
        <v>152</v>
      </c>
      <c r="X278" s="5">
        <v>159.5</v>
      </c>
      <c r="Y278" s="5">
        <v>146.4</v>
      </c>
      <c r="Z278" s="5">
        <v>152.4</v>
      </c>
      <c r="AA278" s="5">
        <v>162.5</v>
      </c>
      <c r="AB278" s="5">
        <v>156.19999999999999</v>
      </c>
      <c r="AC278" s="5">
        <v>154.30000000000001</v>
      </c>
      <c r="AD278" s="5">
        <v>157.5</v>
      </c>
    </row>
    <row r="279" spans="1:30" x14ac:dyDescent="0.3">
      <c r="A279" t="s">
        <v>33</v>
      </c>
      <c r="B279" s="3">
        <v>2020</v>
      </c>
      <c r="C279" t="s">
        <v>43</v>
      </c>
      <c r="D279" s="5">
        <v>150.6</v>
      </c>
      <c r="E279" s="5">
        <v>193.7</v>
      </c>
      <c r="F279" s="5">
        <v>164.8</v>
      </c>
      <c r="G279" s="5">
        <v>153.69999999999999</v>
      </c>
      <c r="H279" s="5">
        <v>135.69999999999999</v>
      </c>
      <c r="I279" s="5">
        <v>155.69999999999999</v>
      </c>
      <c r="J279" s="5">
        <v>226</v>
      </c>
      <c r="K279" s="5">
        <v>152.19999999999999</v>
      </c>
      <c r="L279" s="5">
        <v>118.1</v>
      </c>
      <c r="M279" s="5">
        <v>161.30000000000001</v>
      </c>
      <c r="N279" s="5">
        <v>139.19999999999999</v>
      </c>
      <c r="O279" s="5">
        <v>164.8</v>
      </c>
      <c r="P279" s="5">
        <v>164.4</v>
      </c>
      <c r="Q279" s="5">
        <v>188.7</v>
      </c>
      <c r="R279" s="5">
        <v>150.5</v>
      </c>
      <c r="S279" s="5">
        <v>136.1</v>
      </c>
      <c r="T279" s="5">
        <v>148.30000000000001</v>
      </c>
      <c r="U279" s="5">
        <v>156.5</v>
      </c>
      <c r="V279" s="5">
        <v>137.1</v>
      </c>
      <c r="W279" s="5">
        <v>145.1</v>
      </c>
      <c r="X279" s="5">
        <v>151</v>
      </c>
      <c r="Y279" s="5">
        <v>135.4</v>
      </c>
      <c r="Z279" s="5">
        <v>142</v>
      </c>
      <c r="AA279" s="5">
        <v>155.69999999999999</v>
      </c>
      <c r="AB279" s="5">
        <v>158.1</v>
      </c>
      <c r="AC279" s="5">
        <v>146.19999999999999</v>
      </c>
      <c r="AD279" s="5">
        <v>155.19999999999999</v>
      </c>
    </row>
    <row r="280" spans="1:30" x14ac:dyDescent="0.3">
      <c r="A280" t="s">
        <v>34</v>
      </c>
      <c r="B280" s="3">
        <v>2020</v>
      </c>
      <c r="C280" t="s">
        <v>43</v>
      </c>
      <c r="D280" s="5">
        <v>147.5</v>
      </c>
      <c r="E280" s="5">
        <v>188.9</v>
      </c>
      <c r="F280" s="5">
        <v>161.4</v>
      </c>
      <c r="G280" s="5">
        <v>153.6</v>
      </c>
      <c r="H280" s="5">
        <v>140.1</v>
      </c>
      <c r="I280" s="5">
        <v>151.19999999999999</v>
      </c>
      <c r="J280" s="5">
        <v>209.2</v>
      </c>
      <c r="K280" s="5">
        <v>150.9</v>
      </c>
      <c r="L280" s="5">
        <v>116.2</v>
      </c>
      <c r="M280" s="5">
        <v>161</v>
      </c>
      <c r="N280" s="5">
        <v>144</v>
      </c>
      <c r="O280" s="5">
        <v>163.19999999999999</v>
      </c>
      <c r="P280" s="5">
        <v>161.4</v>
      </c>
      <c r="Q280" s="5">
        <v>184.3</v>
      </c>
      <c r="R280" s="5">
        <v>153.69999999999999</v>
      </c>
      <c r="S280" s="5">
        <v>144.6</v>
      </c>
      <c r="T280" s="5">
        <v>152.30000000000001</v>
      </c>
      <c r="U280" s="5">
        <v>156.5</v>
      </c>
      <c r="V280" s="5">
        <v>143.1</v>
      </c>
      <c r="W280" s="5">
        <v>148.69999999999999</v>
      </c>
      <c r="X280" s="5">
        <v>156.30000000000001</v>
      </c>
      <c r="Y280" s="5">
        <v>140.6</v>
      </c>
      <c r="Z280" s="5">
        <v>146.5</v>
      </c>
      <c r="AA280" s="5">
        <v>158.5</v>
      </c>
      <c r="AB280" s="5">
        <v>157</v>
      </c>
      <c r="AC280" s="5">
        <v>150.4</v>
      </c>
      <c r="AD280" s="5">
        <v>156.4</v>
      </c>
    </row>
    <row r="281" spans="1:30" x14ac:dyDescent="0.3">
      <c r="A281" t="s">
        <v>30</v>
      </c>
      <c r="B281" s="3">
        <v>2020</v>
      </c>
      <c r="C281" t="s">
        <v>45</v>
      </c>
      <c r="D281" s="5">
        <v>145.4</v>
      </c>
      <c r="E281" s="5">
        <v>188.6</v>
      </c>
      <c r="F281" s="5">
        <v>171.6</v>
      </c>
      <c r="G281" s="5">
        <v>153.80000000000001</v>
      </c>
      <c r="H281" s="5">
        <v>145.4</v>
      </c>
      <c r="I281" s="5">
        <v>146.5</v>
      </c>
      <c r="J281" s="5">
        <v>222.2</v>
      </c>
      <c r="K281" s="5">
        <v>155.9</v>
      </c>
      <c r="L281" s="5">
        <v>114.9</v>
      </c>
      <c r="M281" s="5">
        <v>162</v>
      </c>
      <c r="N281" s="5">
        <v>150</v>
      </c>
      <c r="O281" s="5">
        <v>162.69999999999999</v>
      </c>
      <c r="P281" s="5">
        <v>163.4</v>
      </c>
      <c r="Q281" s="5">
        <v>183.4</v>
      </c>
      <c r="R281" s="5">
        <v>156.30000000000001</v>
      </c>
      <c r="S281" s="5">
        <v>151</v>
      </c>
      <c r="T281" s="5">
        <v>155.5</v>
      </c>
      <c r="U281" s="5" t="s">
        <v>32</v>
      </c>
      <c r="V281" s="5">
        <v>147.5</v>
      </c>
      <c r="W281" s="5">
        <v>152.80000000000001</v>
      </c>
      <c r="X281" s="5">
        <v>160.4</v>
      </c>
      <c r="Y281" s="5">
        <v>146.1</v>
      </c>
      <c r="Z281" s="5">
        <v>153.6</v>
      </c>
      <c r="AA281" s="5">
        <v>161.6</v>
      </c>
      <c r="AB281" s="5">
        <v>156.19999999999999</v>
      </c>
      <c r="AC281" s="5">
        <v>154.5</v>
      </c>
      <c r="AD281" s="5">
        <v>159.80000000000001</v>
      </c>
    </row>
    <row r="282" spans="1:30" x14ac:dyDescent="0.3">
      <c r="A282" t="s">
        <v>33</v>
      </c>
      <c r="B282" s="3">
        <v>2020</v>
      </c>
      <c r="C282" t="s">
        <v>45</v>
      </c>
      <c r="D282" s="5">
        <v>149.69999999999999</v>
      </c>
      <c r="E282" s="5">
        <v>195.5</v>
      </c>
      <c r="F282" s="5">
        <v>176.9</v>
      </c>
      <c r="G282" s="5">
        <v>153.9</v>
      </c>
      <c r="H282" s="5">
        <v>138</v>
      </c>
      <c r="I282" s="5">
        <v>150.5</v>
      </c>
      <c r="J282" s="5">
        <v>245.3</v>
      </c>
      <c r="K282" s="5">
        <v>158.69999999999999</v>
      </c>
      <c r="L282" s="5">
        <v>117.2</v>
      </c>
      <c r="M282" s="5">
        <v>161.4</v>
      </c>
      <c r="N282" s="5">
        <v>141.5</v>
      </c>
      <c r="O282" s="5">
        <v>165.1</v>
      </c>
      <c r="P282" s="5">
        <v>167</v>
      </c>
      <c r="Q282" s="5">
        <v>188.8</v>
      </c>
      <c r="R282" s="5">
        <v>151.1</v>
      </c>
      <c r="S282" s="5">
        <v>136.4</v>
      </c>
      <c r="T282" s="5">
        <v>148.80000000000001</v>
      </c>
      <c r="U282" s="5">
        <v>158</v>
      </c>
      <c r="V282" s="5">
        <v>137.30000000000001</v>
      </c>
      <c r="W282" s="5">
        <v>145.1</v>
      </c>
      <c r="X282" s="5">
        <v>152</v>
      </c>
      <c r="Y282" s="5">
        <v>135.19999999999999</v>
      </c>
      <c r="Z282" s="5">
        <v>144.4</v>
      </c>
      <c r="AA282" s="5">
        <v>156.4</v>
      </c>
      <c r="AB282" s="5">
        <v>157.9</v>
      </c>
      <c r="AC282" s="5">
        <v>146.6</v>
      </c>
      <c r="AD282" s="5">
        <v>156.69999999999999</v>
      </c>
    </row>
    <row r="283" spans="1:30" x14ac:dyDescent="0.3">
      <c r="A283" t="s">
        <v>34</v>
      </c>
      <c r="B283" s="3">
        <v>2020</v>
      </c>
      <c r="C283" t="s">
        <v>45</v>
      </c>
      <c r="D283" s="5">
        <v>146.80000000000001</v>
      </c>
      <c r="E283" s="5">
        <v>191</v>
      </c>
      <c r="F283" s="5">
        <v>173.6</v>
      </c>
      <c r="G283" s="5">
        <v>153.80000000000001</v>
      </c>
      <c r="H283" s="5">
        <v>142.69999999999999</v>
      </c>
      <c r="I283" s="5">
        <v>148.4</v>
      </c>
      <c r="J283" s="5">
        <v>230</v>
      </c>
      <c r="K283" s="5">
        <v>156.80000000000001</v>
      </c>
      <c r="L283" s="5">
        <v>115.7</v>
      </c>
      <c r="M283" s="5">
        <v>161.80000000000001</v>
      </c>
      <c r="N283" s="5">
        <v>146.5</v>
      </c>
      <c r="O283" s="5">
        <v>163.80000000000001</v>
      </c>
      <c r="P283" s="5">
        <v>164.7</v>
      </c>
      <c r="Q283" s="5">
        <v>184.8</v>
      </c>
      <c r="R283" s="5">
        <v>154.30000000000001</v>
      </c>
      <c r="S283" s="5">
        <v>144.9</v>
      </c>
      <c r="T283" s="5">
        <v>152.80000000000001</v>
      </c>
      <c r="U283" s="5">
        <v>158</v>
      </c>
      <c r="V283" s="5">
        <v>143.6</v>
      </c>
      <c r="W283" s="5">
        <v>149.19999999999999</v>
      </c>
      <c r="X283" s="5">
        <v>157.19999999999999</v>
      </c>
      <c r="Y283" s="5">
        <v>140.4</v>
      </c>
      <c r="Z283" s="5">
        <v>148.4</v>
      </c>
      <c r="AA283" s="5">
        <v>158.6</v>
      </c>
      <c r="AB283" s="5">
        <v>156.9</v>
      </c>
      <c r="AC283" s="5">
        <v>150.69999999999999</v>
      </c>
      <c r="AD283" s="5">
        <v>158.4</v>
      </c>
    </row>
    <row r="284" spans="1:30" x14ac:dyDescent="0.3">
      <c r="A284" t="s">
        <v>30</v>
      </c>
      <c r="B284" s="3">
        <v>2020</v>
      </c>
      <c r="C284" t="s">
        <v>46</v>
      </c>
      <c r="D284" s="5">
        <v>144.6</v>
      </c>
      <c r="E284" s="5">
        <v>188.5</v>
      </c>
      <c r="F284" s="5">
        <v>173.4</v>
      </c>
      <c r="G284" s="5">
        <v>154</v>
      </c>
      <c r="H284" s="5">
        <v>150</v>
      </c>
      <c r="I284" s="5">
        <v>145.9</v>
      </c>
      <c r="J284" s="5">
        <v>225.2</v>
      </c>
      <c r="K284" s="5">
        <v>159.5</v>
      </c>
      <c r="L284" s="5">
        <v>114.4</v>
      </c>
      <c r="M284" s="5">
        <v>163.5</v>
      </c>
      <c r="N284" s="5">
        <v>153.4</v>
      </c>
      <c r="O284" s="5">
        <v>163.6</v>
      </c>
      <c r="P284" s="5">
        <v>164.5</v>
      </c>
      <c r="Q284" s="5">
        <v>183.6</v>
      </c>
      <c r="R284" s="5">
        <v>157</v>
      </c>
      <c r="S284" s="5">
        <v>151.6</v>
      </c>
      <c r="T284" s="5">
        <v>156.30000000000001</v>
      </c>
      <c r="U284" s="5" t="s">
        <v>32</v>
      </c>
      <c r="V284" s="5">
        <v>148.69999999999999</v>
      </c>
      <c r="W284" s="5">
        <v>153.4</v>
      </c>
      <c r="X284" s="5">
        <v>161.6</v>
      </c>
      <c r="Y284" s="5">
        <v>146.4</v>
      </c>
      <c r="Z284" s="5">
        <v>153.9</v>
      </c>
      <c r="AA284" s="5">
        <v>162.9</v>
      </c>
      <c r="AB284" s="5">
        <v>156.6</v>
      </c>
      <c r="AC284" s="5">
        <v>155.19999999999999</v>
      </c>
      <c r="AD284" s="5">
        <v>160.69999999999999</v>
      </c>
    </row>
    <row r="285" spans="1:30" x14ac:dyDescent="0.3">
      <c r="A285" t="s">
        <v>33</v>
      </c>
      <c r="B285" s="3">
        <v>2020</v>
      </c>
      <c r="C285" t="s">
        <v>46</v>
      </c>
      <c r="D285" s="5">
        <v>149</v>
      </c>
      <c r="E285" s="5">
        <v>195.7</v>
      </c>
      <c r="F285" s="5">
        <v>178.3</v>
      </c>
      <c r="G285" s="5">
        <v>154.19999999999999</v>
      </c>
      <c r="H285" s="5">
        <v>140.69999999999999</v>
      </c>
      <c r="I285" s="5">
        <v>149.69999999999999</v>
      </c>
      <c r="J285" s="5">
        <v>240.9</v>
      </c>
      <c r="K285" s="5">
        <v>161.5</v>
      </c>
      <c r="L285" s="5">
        <v>117.1</v>
      </c>
      <c r="M285" s="5">
        <v>161.9</v>
      </c>
      <c r="N285" s="5">
        <v>143.30000000000001</v>
      </c>
      <c r="O285" s="5">
        <v>166.1</v>
      </c>
      <c r="P285" s="5">
        <v>167</v>
      </c>
      <c r="Q285" s="5">
        <v>190.2</v>
      </c>
      <c r="R285" s="5">
        <v>151.9</v>
      </c>
      <c r="S285" s="5">
        <v>136.69999999999999</v>
      </c>
      <c r="T285" s="5">
        <v>149.6</v>
      </c>
      <c r="U285" s="5">
        <v>158.4</v>
      </c>
      <c r="V285" s="5">
        <v>137.9</v>
      </c>
      <c r="W285" s="5">
        <v>145.5</v>
      </c>
      <c r="X285" s="5">
        <v>152.9</v>
      </c>
      <c r="Y285" s="5">
        <v>135.5</v>
      </c>
      <c r="Z285" s="5">
        <v>144.30000000000001</v>
      </c>
      <c r="AA285" s="5">
        <v>156.9</v>
      </c>
      <c r="AB285" s="5">
        <v>157.9</v>
      </c>
      <c r="AC285" s="5">
        <v>146.9</v>
      </c>
      <c r="AD285" s="5">
        <v>156.9</v>
      </c>
    </row>
    <row r="286" spans="1:30" x14ac:dyDescent="0.3">
      <c r="A286" t="s">
        <v>34</v>
      </c>
      <c r="B286" s="3">
        <v>2020</v>
      </c>
      <c r="C286" t="s">
        <v>46</v>
      </c>
      <c r="D286" s="5">
        <v>146</v>
      </c>
      <c r="E286" s="5">
        <v>191</v>
      </c>
      <c r="F286" s="5">
        <v>175.3</v>
      </c>
      <c r="G286" s="5">
        <v>154.1</v>
      </c>
      <c r="H286" s="5">
        <v>146.6</v>
      </c>
      <c r="I286" s="5">
        <v>147.69999999999999</v>
      </c>
      <c r="J286" s="5">
        <v>230.5</v>
      </c>
      <c r="K286" s="5">
        <v>160.19999999999999</v>
      </c>
      <c r="L286" s="5">
        <v>115.3</v>
      </c>
      <c r="M286" s="5">
        <v>163</v>
      </c>
      <c r="N286" s="5">
        <v>149.19999999999999</v>
      </c>
      <c r="O286" s="5">
        <v>164.8</v>
      </c>
      <c r="P286" s="5">
        <v>165.4</v>
      </c>
      <c r="Q286" s="5">
        <v>185.4</v>
      </c>
      <c r="R286" s="5">
        <v>155</v>
      </c>
      <c r="S286" s="5">
        <v>145.4</v>
      </c>
      <c r="T286" s="5">
        <v>153.6</v>
      </c>
      <c r="U286" s="5">
        <v>158.4</v>
      </c>
      <c r="V286" s="5">
        <v>144.6</v>
      </c>
      <c r="W286" s="5">
        <v>149.69999999999999</v>
      </c>
      <c r="X286" s="5">
        <v>158.30000000000001</v>
      </c>
      <c r="Y286" s="5">
        <v>140.69999999999999</v>
      </c>
      <c r="Z286" s="5">
        <v>148.5</v>
      </c>
      <c r="AA286" s="5">
        <v>159.4</v>
      </c>
      <c r="AB286" s="5">
        <v>157.1</v>
      </c>
      <c r="AC286" s="5">
        <v>151.19999999999999</v>
      </c>
      <c r="AD286" s="5">
        <v>158.9</v>
      </c>
    </row>
    <row r="287" spans="1:30" x14ac:dyDescent="0.3">
      <c r="A287" t="s">
        <v>30</v>
      </c>
      <c r="B287" s="3">
        <v>2021</v>
      </c>
      <c r="C287" t="s">
        <v>31</v>
      </c>
      <c r="D287" s="5">
        <v>143.4</v>
      </c>
      <c r="E287" s="5">
        <v>187.5</v>
      </c>
      <c r="F287" s="5">
        <v>173.4</v>
      </c>
      <c r="G287" s="5">
        <v>154</v>
      </c>
      <c r="H287" s="5">
        <v>154.80000000000001</v>
      </c>
      <c r="I287" s="5">
        <v>147</v>
      </c>
      <c r="J287" s="5">
        <v>187.8</v>
      </c>
      <c r="K287" s="5">
        <v>159.5</v>
      </c>
      <c r="L287" s="5">
        <v>113.8</v>
      </c>
      <c r="M287" s="5">
        <v>164.5</v>
      </c>
      <c r="N287" s="5">
        <v>156.1</v>
      </c>
      <c r="O287" s="5">
        <v>164.3</v>
      </c>
      <c r="P287" s="5">
        <v>159.6</v>
      </c>
      <c r="Q287" s="5">
        <v>184.6</v>
      </c>
      <c r="R287" s="5">
        <v>157.5</v>
      </c>
      <c r="S287" s="5">
        <v>152.4</v>
      </c>
      <c r="T287" s="5">
        <v>156.80000000000001</v>
      </c>
      <c r="U287" s="5" t="s">
        <v>32</v>
      </c>
      <c r="V287" s="5">
        <v>150.9</v>
      </c>
      <c r="W287" s="5">
        <v>153.9</v>
      </c>
      <c r="X287" s="5">
        <v>162.5</v>
      </c>
      <c r="Y287" s="5">
        <v>147.5</v>
      </c>
      <c r="Z287" s="5">
        <v>155.1</v>
      </c>
      <c r="AA287" s="5">
        <v>163.5</v>
      </c>
      <c r="AB287" s="5">
        <v>156.19999999999999</v>
      </c>
      <c r="AC287" s="5">
        <v>155.9</v>
      </c>
      <c r="AD287" s="5">
        <v>158.5</v>
      </c>
    </row>
    <row r="288" spans="1:30" x14ac:dyDescent="0.3">
      <c r="A288" t="s">
        <v>33</v>
      </c>
      <c r="B288" s="3">
        <v>2021</v>
      </c>
      <c r="C288" t="s">
        <v>31</v>
      </c>
      <c r="D288" s="5">
        <v>148</v>
      </c>
      <c r="E288" s="5">
        <v>194.8</v>
      </c>
      <c r="F288" s="5">
        <v>178.4</v>
      </c>
      <c r="G288" s="5">
        <v>154.4</v>
      </c>
      <c r="H288" s="5">
        <v>144.1</v>
      </c>
      <c r="I288" s="5">
        <v>152.6</v>
      </c>
      <c r="J288" s="5">
        <v>206.8</v>
      </c>
      <c r="K288" s="5">
        <v>162.1</v>
      </c>
      <c r="L288" s="5">
        <v>116.3</v>
      </c>
      <c r="M288" s="5">
        <v>163</v>
      </c>
      <c r="N288" s="5">
        <v>145.9</v>
      </c>
      <c r="O288" s="5">
        <v>167.2</v>
      </c>
      <c r="P288" s="5">
        <v>163.4</v>
      </c>
      <c r="Q288" s="5">
        <v>191.8</v>
      </c>
      <c r="R288" s="5">
        <v>152.5</v>
      </c>
      <c r="S288" s="5">
        <v>137.30000000000001</v>
      </c>
      <c r="T288" s="5">
        <v>150.19999999999999</v>
      </c>
      <c r="U288" s="5">
        <v>157.69999999999999</v>
      </c>
      <c r="V288" s="5">
        <v>142.9</v>
      </c>
      <c r="W288" s="5">
        <v>145.69999999999999</v>
      </c>
      <c r="X288" s="5">
        <v>154.1</v>
      </c>
      <c r="Y288" s="5">
        <v>136.9</v>
      </c>
      <c r="Z288" s="5">
        <v>145.4</v>
      </c>
      <c r="AA288" s="5">
        <v>156.1</v>
      </c>
      <c r="AB288" s="5">
        <v>157.69999999999999</v>
      </c>
      <c r="AC288" s="5">
        <v>147.6</v>
      </c>
      <c r="AD288" s="5">
        <v>156</v>
      </c>
    </row>
    <row r="289" spans="1:30" x14ac:dyDescent="0.3">
      <c r="A289" t="s">
        <v>34</v>
      </c>
      <c r="B289" s="3">
        <v>2021</v>
      </c>
      <c r="C289" t="s">
        <v>31</v>
      </c>
      <c r="D289" s="5">
        <v>144.9</v>
      </c>
      <c r="E289" s="5">
        <v>190.1</v>
      </c>
      <c r="F289" s="5">
        <v>175.3</v>
      </c>
      <c r="G289" s="5">
        <v>154.1</v>
      </c>
      <c r="H289" s="5">
        <v>150.9</v>
      </c>
      <c r="I289" s="5">
        <v>149.6</v>
      </c>
      <c r="J289" s="5">
        <v>194.2</v>
      </c>
      <c r="K289" s="5">
        <v>160.4</v>
      </c>
      <c r="L289" s="5">
        <v>114.6</v>
      </c>
      <c r="M289" s="5">
        <v>164</v>
      </c>
      <c r="N289" s="5">
        <v>151.80000000000001</v>
      </c>
      <c r="O289" s="5">
        <v>165.6</v>
      </c>
      <c r="P289" s="5">
        <v>161</v>
      </c>
      <c r="Q289" s="5">
        <v>186.5</v>
      </c>
      <c r="R289" s="5">
        <v>155.5</v>
      </c>
      <c r="S289" s="5">
        <v>146.1</v>
      </c>
      <c r="T289" s="5">
        <v>154.19999999999999</v>
      </c>
      <c r="U289" s="5">
        <v>157.69999999999999</v>
      </c>
      <c r="V289" s="5">
        <v>147.9</v>
      </c>
      <c r="W289" s="5">
        <v>150</v>
      </c>
      <c r="X289" s="5">
        <v>159.30000000000001</v>
      </c>
      <c r="Y289" s="5">
        <v>141.9</v>
      </c>
      <c r="Z289" s="5">
        <v>149.6</v>
      </c>
      <c r="AA289" s="5">
        <v>159.19999999999999</v>
      </c>
      <c r="AB289" s="5">
        <v>156.80000000000001</v>
      </c>
      <c r="AC289" s="5">
        <v>151.9</v>
      </c>
      <c r="AD289" s="5">
        <v>157.30000000000001</v>
      </c>
    </row>
    <row r="290" spans="1:30" x14ac:dyDescent="0.3">
      <c r="A290" t="s">
        <v>30</v>
      </c>
      <c r="B290" s="3">
        <v>2021</v>
      </c>
      <c r="C290" t="s">
        <v>35</v>
      </c>
      <c r="D290" s="5">
        <v>142.80000000000001</v>
      </c>
      <c r="E290" s="5">
        <v>184</v>
      </c>
      <c r="F290" s="5">
        <v>168</v>
      </c>
      <c r="G290" s="5">
        <v>154.4</v>
      </c>
      <c r="H290" s="5">
        <v>163</v>
      </c>
      <c r="I290" s="5">
        <v>147.80000000000001</v>
      </c>
      <c r="J290" s="5">
        <v>149.69999999999999</v>
      </c>
      <c r="K290" s="5">
        <v>158.30000000000001</v>
      </c>
      <c r="L290" s="5">
        <v>111.8</v>
      </c>
      <c r="M290" s="5">
        <v>165</v>
      </c>
      <c r="N290" s="5">
        <v>160</v>
      </c>
      <c r="O290" s="5">
        <v>165.8</v>
      </c>
      <c r="P290" s="5">
        <v>154.69999999999999</v>
      </c>
      <c r="Q290" s="5">
        <v>186.5</v>
      </c>
      <c r="R290" s="5">
        <v>159.1</v>
      </c>
      <c r="S290" s="5">
        <v>153.9</v>
      </c>
      <c r="T290" s="5">
        <v>158.4</v>
      </c>
      <c r="U290" s="5" t="s">
        <v>32</v>
      </c>
      <c r="V290" s="5">
        <v>154.4</v>
      </c>
      <c r="W290" s="5">
        <v>154.80000000000001</v>
      </c>
      <c r="X290" s="5">
        <v>164.3</v>
      </c>
      <c r="Y290" s="5">
        <v>150.19999999999999</v>
      </c>
      <c r="Z290" s="5">
        <v>157</v>
      </c>
      <c r="AA290" s="5">
        <v>163.6</v>
      </c>
      <c r="AB290" s="5">
        <v>155.19999999999999</v>
      </c>
      <c r="AC290" s="5">
        <v>157.19999999999999</v>
      </c>
      <c r="AD290" s="5">
        <v>156.69999999999999</v>
      </c>
    </row>
    <row r="291" spans="1:30" x14ac:dyDescent="0.3">
      <c r="A291" t="s">
        <v>33</v>
      </c>
      <c r="B291" s="3">
        <v>2021</v>
      </c>
      <c r="C291" t="s">
        <v>35</v>
      </c>
      <c r="D291" s="5">
        <v>147.6</v>
      </c>
      <c r="E291" s="5">
        <v>191.2</v>
      </c>
      <c r="F291" s="5">
        <v>169.9</v>
      </c>
      <c r="G291" s="5">
        <v>155.1</v>
      </c>
      <c r="H291" s="5">
        <v>151.4</v>
      </c>
      <c r="I291" s="5">
        <v>154</v>
      </c>
      <c r="J291" s="5">
        <v>180.2</v>
      </c>
      <c r="K291" s="5">
        <v>159.80000000000001</v>
      </c>
      <c r="L291" s="5">
        <v>114.9</v>
      </c>
      <c r="M291" s="5">
        <v>162.5</v>
      </c>
      <c r="N291" s="5">
        <v>149.19999999999999</v>
      </c>
      <c r="O291" s="5">
        <v>169.4</v>
      </c>
      <c r="P291" s="5">
        <v>160.80000000000001</v>
      </c>
      <c r="Q291" s="5">
        <v>193.3</v>
      </c>
      <c r="R291" s="5">
        <v>154.19999999999999</v>
      </c>
      <c r="S291" s="5">
        <v>138.19999999999999</v>
      </c>
      <c r="T291" s="5">
        <v>151.80000000000001</v>
      </c>
      <c r="U291" s="5">
        <v>159.80000000000001</v>
      </c>
      <c r="V291" s="5">
        <v>149.1</v>
      </c>
      <c r="W291" s="5">
        <v>146.5</v>
      </c>
      <c r="X291" s="5">
        <v>156.30000000000001</v>
      </c>
      <c r="Y291" s="5">
        <v>140.5</v>
      </c>
      <c r="Z291" s="5">
        <v>147.30000000000001</v>
      </c>
      <c r="AA291" s="5">
        <v>156.6</v>
      </c>
      <c r="AB291" s="5">
        <v>156.69999999999999</v>
      </c>
      <c r="AC291" s="5">
        <v>149.30000000000001</v>
      </c>
      <c r="AD291" s="5">
        <v>156.5</v>
      </c>
    </row>
    <row r="292" spans="1:30" x14ac:dyDescent="0.3">
      <c r="A292" t="s">
        <v>34</v>
      </c>
      <c r="B292" s="3">
        <v>2021</v>
      </c>
      <c r="C292" t="s">
        <v>35</v>
      </c>
      <c r="D292" s="5">
        <v>144.30000000000001</v>
      </c>
      <c r="E292" s="5">
        <v>186.5</v>
      </c>
      <c r="F292" s="5">
        <v>168.7</v>
      </c>
      <c r="G292" s="5">
        <v>154.69999999999999</v>
      </c>
      <c r="H292" s="5">
        <v>158.69999999999999</v>
      </c>
      <c r="I292" s="5">
        <v>150.69999999999999</v>
      </c>
      <c r="J292" s="5">
        <v>160</v>
      </c>
      <c r="K292" s="5">
        <v>158.80000000000001</v>
      </c>
      <c r="L292" s="5">
        <v>112.8</v>
      </c>
      <c r="M292" s="5">
        <v>164.2</v>
      </c>
      <c r="N292" s="5">
        <v>155.5</v>
      </c>
      <c r="O292" s="5">
        <v>167.5</v>
      </c>
      <c r="P292" s="5">
        <v>156.9</v>
      </c>
      <c r="Q292" s="5">
        <v>188.3</v>
      </c>
      <c r="R292" s="5">
        <v>157.19999999999999</v>
      </c>
      <c r="S292" s="5">
        <v>147.4</v>
      </c>
      <c r="T292" s="5">
        <v>155.80000000000001</v>
      </c>
      <c r="U292" s="5">
        <v>159.80000000000001</v>
      </c>
      <c r="V292" s="5">
        <v>152.4</v>
      </c>
      <c r="W292" s="5">
        <v>150.9</v>
      </c>
      <c r="X292" s="5">
        <v>161.30000000000001</v>
      </c>
      <c r="Y292" s="5">
        <v>145.1</v>
      </c>
      <c r="Z292" s="5">
        <v>151.5</v>
      </c>
      <c r="AA292" s="5">
        <v>159.5</v>
      </c>
      <c r="AB292" s="5">
        <v>155.80000000000001</v>
      </c>
      <c r="AC292" s="5">
        <v>153.4</v>
      </c>
      <c r="AD292" s="5">
        <v>156.6</v>
      </c>
    </row>
    <row r="293" spans="1:30" x14ac:dyDescent="0.3">
      <c r="A293" t="s">
        <v>30</v>
      </c>
      <c r="B293" s="3">
        <v>2021</v>
      </c>
      <c r="C293" t="s">
        <v>36</v>
      </c>
      <c r="D293" s="5">
        <v>142.5</v>
      </c>
      <c r="E293" s="5">
        <v>189.4</v>
      </c>
      <c r="F293" s="5">
        <v>163.19999999999999</v>
      </c>
      <c r="G293" s="5">
        <v>154.5</v>
      </c>
      <c r="H293" s="5">
        <v>168.2</v>
      </c>
      <c r="I293" s="5">
        <v>150.5</v>
      </c>
      <c r="J293" s="5">
        <v>141</v>
      </c>
      <c r="K293" s="5">
        <v>159.19999999999999</v>
      </c>
      <c r="L293" s="5">
        <v>111.7</v>
      </c>
      <c r="M293" s="5">
        <v>164</v>
      </c>
      <c r="N293" s="5">
        <v>160.6</v>
      </c>
      <c r="O293" s="5">
        <v>166.4</v>
      </c>
      <c r="P293" s="5">
        <v>154.5</v>
      </c>
      <c r="Q293" s="5">
        <v>186.1</v>
      </c>
      <c r="R293" s="5">
        <v>159.6</v>
      </c>
      <c r="S293" s="5">
        <v>154.4</v>
      </c>
      <c r="T293" s="5">
        <v>158.9</v>
      </c>
      <c r="U293" s="5" t="s">
        <v>48</v>
      </c>
      <c r="V293" s="5">
        <v>156</v>
      </c>
      <c r="W293" s="5">
        <v>154.80000000000001</v>
      </c>
      <c r="X293" s="5">
        <v>164.6</v>
      </c>
      <c r="Y293" s="5">
        <v>151.30000000000001</v>
      </c>
      <c r="Z293" s="5">
        <v>157.80000000000001</v>
      </c>
      <c r="AA293" s="5">
        <v>163.80000000000001</v>
      </c>
      <c r="AB293" s="5">
        <v>153.1</v>
      </c>
      <c r="AC293" s="5">
        <v>157.30000000000001</v>
      </c>
      <c r="AD293" s="5">
        <v>156.69999999999999</v>
      </c>
    </row>
    <row r="294" spans="1:30" x14ac:dyDescent="0.3">
      <c r="A294" t="s">
        <v>33</v>
      </c>
      <c r="B294" s="3">
        <v>2021</v>
      </c>
      <c r="C294" t="s">
        <v>36</v>
      </c>
      <c r="D294" s="5">
        <v>147.5</v>
      </c>
      <c r="E294" s="5">
        <v>197.5</v>
      </c>
      <c r="F294" s="5">
        <v>164.7</v>
      </c>
      <c r="G294" s="5">
        <v>155.6</v>
      </c>
      <c r="H294" s="5">
        <v>156.4</v>
      </c>
      <c r="I294" s="5">
        <v>157.30000000000001</v>
      </c>
      <c r="J294" s="5">
        <v>166.1</v>
      </c>
      <c r="K294" s="5">
        <v>161.1</v>
      </c>
      <c r="L294" s="5">
        <v>114.3</v>
      </c>
      <c r="M294" s="5">
        <v>162.6</v>
      </c>
      <c r="N294" s="5">
        <v>150.69999999999999</v>
      </c>
      <c r="O294" s="5">
        <v>170.3</v>
      </c>
      <c r="P294" s="5">
        <v>160.4</v>
      </c>
      <c r="Q294" s="5">
        <v>193.5</v>
      </c>
      <c r="R294" s="5">
        <v>155.1</v>
      </c>
      <c r="S294" s="5">
        <v>138.69999999999999</v>
      </c>
      <c r="T294" s="5">
        <v>152.6</v>
      </c>
      <c r="U294" s="5">
        <v>159.9</v>
      </c>
      <c r="V294" s="5">
        <v>154.80000000000001</v>
      </c>
      <c r="W294" s="5">
        <v>147.19999999999999</v>
      </c>
      <c r="X294" s="5">
        <v>156.9</v>
      </c>
      <c r="Y294" s="5">
        <v>141.69999999999999</v>
      </c>
      <c r="Z294" s="5">
        <v>148.6</v>
      </c>
      <c r="AA294" s="5">
        <v>157.6</v>
      </c>
      <c r="AB294" s="5">
        <v>154.9</v>
      </c>
      <c r="AC294" s="5">
        <v>150</v>
      </c>
      <c r="AD294" s="5">
        <v>156.9</v>
      </c>
    </row>
    <row r="295" spans="1:30" x14ac:dyDescent="0.3">
      <c r="A295" t="s">
        <v>34</v>
      </c>
      <c r="B295" s="3">
        <v>2021</v>
      </c>
      <c r="C295" t="s">
        <v>36</v>
      </c>
      <c r="D295" s="5">
        <v>144.1</v>
      </c>
      <c r="E295" s="5">
        <v>192.2</v>
      </c>
      <c r="F295" s="5">
        <v>163.80000000000001</v>
      </c>
      <c r="G295" s="5">
        <v>154.9</v>
      </c>
      <c r="H295" s="5">
        <v>163.9</v>
      </c>
      <c r="I295" s="5">
        <v>153.69999999999999</v>
      </c>
      <c r="J295" s="5">
        <v>149.5</v>
      </c>
      <c r="K295" s="5">
        <v>159.80000000000001</v>
      </c>
      <c r="L295" s="5">
        <v>112.6</v>
      </c>
      <c r="M295" s="5">
        <v>163.5</v>
      </c>
      <c r="N295" s="5">
        <v>156.5</v>
      </c>
      <c r="O295" s="5">
        <v>168.2</v>
      </c>
      <c r="P295" s="5">
        <v>156.69999999999999</v>
      </c>
      <c r="Q295" s="5">
        <v>188.1</v>
      </c>
      <c r="R295" s="5">
        <v>157.80000000000001</v>
      </c>
      <c r="S295" s="5">
        <v>147.9</v>
      </c>
      <c r="T295" s="5">
        <v>156.4</v>
      </c>
      <c r="U295" s="5">
        <v>159.9</v>
      </c>
      <c r="V295" s="5">
        <v>155.5</v>
      </c>
      <c r="W295" s="5">
        <v>151.19999999999999</v>
      </c>
      <c r="X295" s="5">
        <v>161.69999999999999</v>
      </c>
      <c r="Y295" s="5">
        <v>146.19999999999999</v>
      </c>
      <c r="Z295" s="5">
        <v>152.6</v>
      </c>
      <c r="AA295" s="5">
        <v>160.19999999999999</v>
      </c>
      <c r="AB295" s="5">
        <v>153.80000000000001</v>
      </c>
      <c r="AC295" s="5">
        <v>153.80000000000001</v>
      </c>
      <c r="AD295" s="5">
        <v>156.80000000000001</v>
      </c>
    </row>
    <row r="296" spans="1:30" x14ac:dyDescent="0.3">
      <c r="A296" t="s">
        <v>30</v>
      </c>
      <c r="B296" s="3">
        <v>2021</v>
      </c>
      <c r="C296" t="s">
        <v>37</v>
      </c>
      <c r="D296" s="5">
        <v>142.69999999999999</v>
      </c>
      <c r="E296" s="5">
        <v>195.5</v>
      </c>
      <c r="F296" s="5">
        <v>163.4</v>
      </c>
      <c r="G296" s="5">
        <v>155</v>
      </c>
      <c r="H296" s="5">
        <v>175.2</v>
      </c>
      <c r="I296" s="5">
        <v>160.6</v>
      </c>
      <c r="J296" s="5">
        <v>135.1</v>
      </c>
      <c r="K296" s="5">
        <v>161.1</v>
      </c>
      <c r="L296" s="5">
        <v>112.2</v>
      </c>
      <c r="M296" s="5">
        <v>164.4</v>
      </c>
      <c r="N296" s="5">
        <v>161.9</v>
      </c>
      <c r="O296" s="5">
        <v>166.8</v>
      </c>
      <c r="P296" s="5">
        <v>155.6</v>
      </c>
      <c r="Q296" s="5">
        <v>186.8</v>
      </c>
      <c r="R296" s="5">
        <v>160.69999999999999</v>
      </c>
      <c r="S296" s="5">
        <v>155.1</v>
      </c>
      <c r="T296" s="5">
        <v>159.9</v>
      </c>
      <c r="U296" s="5" t="s">
        <v>48</v>
      </c>
      <c r="V296" s="5">
        <v>156</v>
      </c>
      <c r="W296" s="5">
        <v>155.5</v>
      </c>
      <c r="X296" s="5">
        <v>165.3</v>
      </c>
      <c r="Y296" s="5">
        <v>151.69999999999999</v>
      </c>
      <c r="Z296" s="5">
        <v>158.6</v>
      </c>
      <c r="AA296" s="5">
        <v>164.1</v>
      </c>
      <c r="AB296" s="5">
        <v>154.6</v>
      </c>
      <c r="AC296" s="5">
        <v>158</v>
      </c>
      <c r="AD296" s="5">
        <v>157.6</v>
      </c>
    </row>
    <row r="297" spans="1:30" x14ac:dyDescent="0.3">
      <c r="A297" t="s">
        <v>33</v>
      </c>
      <c r="B297" s="3">
        <v>2021</v>
      </c>
      <c r="C297" t="s">
        <v>37</v>
      </c>
      <c r="D297" s="5">
        <v>147.6</v>
      </c>
      <c r="E297" s="5">
        <v>202.5</v>
      </c>
      <c r="F297" s="5">
        <v>166.4</v>
      </c>
      <c r="G297" s="5">
        <v>156</v>
      </c>
      <c r="H297" s="5">
        <v>161.4</v>
      </c>
      <c r="I297" s="5">
        <v>168.8</v>
      </c>
      <c r="J297" s="5">
        <v>161.6</v>
      </c>
      <c r="K297" s="5">
        <v>162.80000000000001</v>
      </c>
      <c r="L297" s="5">
        <v>114.8</v>
      </c>
      <c r="M297" s="5">
        <v>162.80000000000001</v>
      </c>
      <c r="N297" s="5">
        <v>151.5</v>
      </c>
      <c r="O297" s="5">
        <v>171.4</v>
      </c>
      <c r="P297" s="5">
        <v>162</v>
      </c>
      <c r="Q297" s="5">
        <v>194.4</v>
      </c>
      <c r="R297" s="5">
        <v>155.9</v>
      </c>
      <c r="S297" s="5">
        <v>139.30000000000001</v>
      </c>
      <c r="T297" s="5">
        <v>153.4</v>
      </c>
      <c r="U297" s="5">
        <v>161.4</v>
      </c>
      <c r="V297" s="5">
        <v>154.9</v>
      </c>
      <c r="W297" s="5">
        <v>147.6</v>
      </c>
      <c r="X297" s="5">
        <v>157.5</v>
      </c>
      <c r="Y297" s="5">
        <v>142.1</v>
      </c>
      <c r="Z297" s="5">
        <v>149.1</v>
      </c>
      <c r="AA297" s="5">
        <v>157.6</v>
      </c>
      <c r="AB297" s="5">
        <v>156.6</v>
      </c>
      <c r="AC297" s="5">
        <v>150.5</v>
      </c>
      <c r="AD297" s="5">
        <v>158</v>
      </c>
    </row>
    <row r="298" spans="1:30" x14ac:dyDescent="0.3">
      <c r="A298" t="s">
        <v>34</v>
      </c>
      <c r="B298" s="3">
        <v>2021</v>
      </c>
      <c r="C298" t="s">
        <v>37</v>
      </c>
      <c r="D298" s="5">
        <v>144.30000000000001</v>
      </c>
      <c r="E298" s="5">
        <v>198</v>
      </c>
      <c r="F298" s="5">
        <v>164.6</v>
      </c>
      <c r="G298" s="5">
        <v>155.4</v>
      </c>
      <c r="H298" s="5">
        <v>170.1</v>
      </c>
      <c r="I298" s="5">
        <v>164.4</v>
      </c>
      <c r="J298" s="5">
        <v>144.1</v>
      </c>
      <c r="K298" s="5">
        <v>161.69999999999999</v>
      </c>
      <c r="L298" s="5">
        <v>113.1</v>
      </c>
      <c r="M298" s="5">
        <v>163.9</v>
      </c>
      <c r="N298" s="5">
        <v>157.6</v>
      </c>
      <c r="O298" s="5">
        <v>168.9</v>
      </c>
      <c r="P298" s="5">
        <v>158</v>
      </c>
      <c r="Q298" s="5">
        <v>188.8</v>
      </c>
      <c r="R298" s="5">
        <v>158.80000000000001</v>
      </c>
      <c r="S298" s="5">
        <v>148.5</v>
      </c>
      <c r="T298" s="5">
        <v>157.30000000000001</v>
      </c>
      <c r="U298" s="5">
        <v>161.4</v>
      </c>
      <c r="V298" s="5">
        <v>155.6</v>
      </c>
      <c r="W298" s="5">
        <v>151.80000000000001</v>
      </c>
      <c r="X298" s="5">
        <v>162.30000000000001</v>
      </c>
      <c r="Y298" s="5">
        <v>146.6</v>
      </c>
      <c r="Z298" s="5">
        <v>153.19999999999999</v>
      </c>
      <c r="AA298" s="5">
        <v>160.30000000000001</v>
      </c>
      <c r="AB298" s="5">
        <v>155.4</v>
      </c>
      <c r="AC298" s="5">
        <v>154.4</v>
      </c>
      <c r="AD298" s="5">
        <v>157.80000000000001</v>
      </c>
    </row>
    <row r="299" spans="1:30" x14ac:dyDescent="0.3">
      <c r="A299" t="s">
        <v>30</v>
      </c>
      <c r="B299" s="3">
        <v>2021</v>
      </c>
      <c r="C299" t="s">
        <v>38</v>
      </c>
      <c r="D299" s="5">
        <v>145.1</v>
      </c>
      <c r="E299" s="5">
        <v>198.5</v>
      </c>
      <c r="F299" s="5">
        <v>168.6</v>
      </c>
      <c r="G299" s="5">
        <v>155.80000000000001</v>
      </c>
      <c r="H299" s="5">
        <v>184.4</v>
      </c>
      <c r="I299" s="5">
        <v>162.30000000000001</v>
      </c>
      <c r="J299" s="5">
        <v>138.4</v>
      </c>
      <c r="K299" s="5">
        <v>165.1</v>
      </c>
      <c r="L299" s="5">
        <v>114.3</v>
      </c>
      <c r="M299" s="5">
        <v>169.7</v>
      </c>
      <c r="N299" s="5">
        <v>164.6</v>
      </c>
      <c r="O299" s="5">
        <v>169.8</v>
      </c>
      <c r="P299" s="5">
        <v>158.69999999999999</v>
      </c>
      <c r="Q299" s="5">
        <v>189.6</v>
      </c>
      <c r="R299" s="5">
        <v>165.3</v>
      </c>
      <c r="S299" s="5">
        <v>160.6</v>
      </c>
      <c r="T299" s="5">
        <v>164.5</v>
      </c>
      <c r="U299" s="5" t="s">
        <v>32</v>
      </c>
      <c r="V299" s="5">
        <v>161.69999999999999</v>
      </c>
      <c r="W299" s="5">
        <v>158.80000000000001</v>
      </c>
      <c r="X299" s="5">
        <v>169.1</v>
      </c>
      <c r="Y299" s="5">
        <v>153.19999999999999</v>
      </c>
      <c r="Z299" s="5">
        <v>160</v>
      </c>
      <c r="AA299" s="5">
        <v>167.6</v>
      </c>
      <c r="AB299" s="5">
        <v>159.30000000000001</v>
      </c>
      <c r="AC299" s="5">
        <v>161.1</v>
      </c>
      <c r="AD299" s="5">
        <v>161.1</v>
      </c>
    </row>
    <row r="300" spans="1:30" x14ac:dyDescent="0.3">
      <c r="A300" t="s">
        <v>33</v>
      </c>
      <c r="B300" s="3">
        <v>2021</v>
      </c>
      <c r="C300" t="s">
        <v>38</v>
      </c>
      <c r="D300" s="5">
        <v>148.80000000000001</v>
      </c>
      <c r="E300" s="5">
        <v>204.3</v>
      </c>
      <c r="F300" s="5">
        <v>173</v>
      </c>
      <c r="G300" s="5">
        <v>156.5</v>
      </c>
      <c r="H300" s="5">
        <v>168.8</v>
      </c>
      <c r="I300" s="5">
        <v>172.5</v>
      </c>
      <c r="J300" s="5">
        <v>166.5</v>
      </c>
      <c r="K300" s="5">
        <v>165.9</v>
      </c>
      <c r="L300" s="5">
        <v>115.9</v>
      </c>
      <c r="M300" s="5">
        <v>165.2</v>
      </c>
      <c r="N300" s="5">
        <v>152</v>
      </c>
      <c r="O300" s="5">
        <v>171.1</v>
      </c>
      <c r="P300" s="5">
        <v>164.2</v>
      </c>
      <c r="Q300" s="5">
        <v>198.2</v>
      </c>
      <c r="R300" s="5">
        <v>156.5</v>
      </c>
      <c r="S300" s="5">
        <v>140.19999999999999</v>
      </c>
      <c r="T300" s="5">
        <v>154.1</v>
      </c>
      <c r="U300" s="5">
        <v>161.6</v>
      </c>
      <c r="V300" s="5">
        <v>155.5</v>
      </c>
      <c r="W300" s="5">
        <v>150.1</v>
      </c>
      <c r="X300" s="5">
        <v>160.4</v>
      </c>
      <c r="Y300" s="5">
        <v>145</v>
      </c>
      <c r="Z300" s="5">
        <v>152.6</v>
      </c>
      <c r="AA300" s="5">
        <v>156.6</v>
      </c>
      <c r="AB300" s="5">
        <v>157.5</v>
      </c>
      <c r="AC300" s="5">
        <v>152.30000000000001</v>
      </c>
      <c r="AD300" s="5">
        <v>159.5</v>
      </c>
    </row>
    <row r="301" spans="1:30" x14ac:dyDescent="0.3">
      <c r="A301" t="s">
        <v>34</v>
      </c>
      <c r="B301" s="3">
        <v>2021</v>
      </c>
      <c r="C301" t="s">
        <v>38</v>
      </c>
      <c r="D301" s="5">
        <v>146.30000000000001</v>
      </c>
      <c r="E301" s="5">
        <v>200.5</v>
      </c>
      <c r="F301" s="5">
        <v>170.3</v>
      </c>
      <c r="G301" s="5">
        <v>156.1</v>
      </c>
      <c r="H301" s="5">
        <v>178.7</v>
      </c>
      <c r="I301" s="5">
        <v>167.1</v>
      </c>
      <c r="J301" s="5">
        <v>147.9</v>
      </c>
      <c r="K301" s="5">
        <v>165.4</v>
      </c>
      <c r="L301" s="5">
        <v>114.8</v>
      </c>
      <c r="M301" s="5">
        <v>168.2</v>
      </c>
      <c r="N301" s="5">
        <v>159.30000000000001</v>
      </c>
      <c r="O301" s="5">
        <v>170.4</v>
      </c>
      <c r="P301" s="5">
        <v>160.69999999999999</v>
      </c>
      <c r="Q301" s="5">
        <v>191.9</v>
      </c>
      <c r="R301" s="5">
        <v>161.80000000000001</v>
      </c>
      <c r="S301" s="5">
        <v>152.1</v>
      </c>
      <c r="T301" s="5">
        <v>160.4</v>
      </c>
      <c r="U301" s="5">
        <v>161.6</v>
      </c>
      <c r="V301" s="5">
        <v>159.4</v>
      </c>
      <c r="W301" s="5">
        <v>154.69999999999999</v>
      </c>
      <c r="X301" s="5">
        <v>165.8</v>
      </c>
      <c r="Y301" s="5">
        <v>148.9</v>
      </c>
      <c r="Z301" s="5">
        <v>155.80000000000001</v>
      </c>
      <c r="AA301" s="5">
        <v>161.19999999999999</v>
      </c>
      <c r="AB301" s="5">
        <v>158.6</v>
      </c>
      <c r="AC301" s="5">
        <v>156.80000000000001</v>
      </c>
      <c r="AD301" s="5">
        <v>160.4</v>
      </c>
    </row>
    <row r="302" spans="1:30" x14ac:dyDescent="0.3">
      <c r="A302" t="s">
        <v>30</v>
      </c>
      <c r="B302" s="3">
        <v>2021</v>
      </c>
      <c r="C302" t="s">
        <v>39</v>
      </c>
      <c r="D302" s="5">
        <v>145.6</v>
      </c>
      <c r="E302" s="5">
        <v>200.1</v>
      </c>
      <c r="F302" s="5">
        <v>179.3</v>
      </c>
      <c r="G302" s="5">
        <v>156.1</v>
      </c>
      <c r="H302" s="5">
        <v>190.4</v>
      </c>
      <c r="I302" s="5">
        <v>158.6</v>
      </c>
      <c r="J302" s="5">
        <v>144.69999999999999</v>
      </c>
      <c r="K302" s="5">
        <v>165.5</v>
      </c>
      <c r="L302" s="5">
        <v>114.6</v>
      </c>
      <c r="M302" s="5">
        <v>170</v>
      </c>
      <c r="N302" s="5">
        <v>165.5</v>
      </c>
      <c r="O302" s="5">
        <v>171.7</v>
      </c>
      <c r="P302" s="5">
        <v>160.5</v>
      </c>
      <c r="Q302" s="5">
        <v>189.1</v>
      </c>
      <c r="R302" s="5">
        <v>165.3</v>
      </c>
      <c r="S302" s="5">
        <v>159.9</v>
      </c>
      <c r="T302" s="5">
        <v>164.6</v>
      </c>
      <c r="U302" s="5" t="s">
        <v>32</v>
      </c>
      <c r="V302" s="5">
        <v>162.1</v>
      </c>
      <c r="W302" s="5">
        <v>159.19999999999999</v>
      </c>
      <c r="X302" s="5">
        <v>169.7</v>
      </c>
      <c r="Y302" s="5">
        <v>154.19999999999999</v>
      </c>
      <c r="Z302" s="5">
        <v>160.4</v>
      </c>
      <c r="AA302" s="5">
        <v>166.8</v>
      </c>
      <c r="AB302" s="5">
        <v>159.4</v>
      </c>
      <c r="AC302" s="5">
        <v>161.5</v>
      </c>
      <c r="AD302" s="5">
        <v>162.1</v>
      </c>
    </row>
    <row r="303" spans="1:30" x14ac:dyDescent="0.3">
      <c r="A303" t="s">
        <v>33</v>
      </c>
      <c r="B303" s="3">
        <v>2021</v>
      </c>
      <c r="C303" t="s">
        <v>39</v>
      </c>
      <c r="D303" s="5">
        <v>149.19999999999999</v>
      </c>
      <c r="E303" s="5">
        <v>205.5</v>
      </c>
      <c r="F303" s="5">
        <v>182.8</v>
      </c>
      <c r="G303" s="5">
        <v>156.5</v>
      </c>
      <c r="H303" s="5">
        <v>172.2</v>
      </c>
      <c r="I303" s="5">
        <v>171.5</v>
      </c>
      <c r="J303" s="5">
        <v>176.2</v>
      </c>
      <c r="K303" s="5">
        <v>166.9</v>
      </c>
      <c r="L303" s="5">
        <v>116.1</v>
      </c>
      <c r="M303" s="5">
        <v>165.5</v>
      </c>
      <c r="N303" s="5">
        <v>152.30000000000001</v>
      </c>
      <c r="O303" s="5">
        <v>173.3</v>
      </c>
      <c r="P303" s="5">
        <v>166.2</v>
      </c>
      <c r="Q303" s="5">
        <v>195.6</v>
      </c>
      <c r="R303" s="5">
        <v>157.30000000000001</v>
      </c>
      <c r="S303" s="5">
        <v>140.5</v>
      </c>
      <c r="T303" s="5">
        <v>154.80000000000001</v>
      </c>
      <c r="U303" s="5">
        <v>160.5</v>
      </c>
      <c r="V303" s="5">
        <v>156.1</v>
      </c>
      <c r="W303" s="5">
        <v>149.80000000000001</v>
      </c>
      <c r="X303" s="5">
        <v>160.80000000000001</v>
      </c>
      <c r="Y303" s="5">
        <v>147.5</v>
      </c>
      <c r="Z303" s="5">
        <v>150.69999999999999</v>
      </c>
      <c r="AA303" s="5">
        <v>158.1</v>
      </c>
      <c r="AB303" s="5">
        <v>158</v>
      </c>
      <c r="AC303" s="5">
        <v>153.4</v>
      </c>
      <c r="AD303" s="5">
        <v>160.4</v>
      </c>
    </row>
    <row r="304" spans="1:30" x14ac:dyDescent="0.3">
      <c r="A304" t="s">
        <v>34</v>
      </c>
      <c r="B304" s="3">
        <v>2021</v>
      </c>
      <c r="C304" t="s">
        <v>39</v>
      </c>
      <c r="D304" s="5">
        <v>146.69999999999999</v>
      </c>
      <c r="E304" s="5">
        <v>202</v>
      </c>
      <c r="F304" s="5">
        <v>180.7</v>
      </c>
      <c r="G304" s="5">
        <v>156.19999999999999</v>
      </c>
      <c r="H304" s="5">
        <v>183.7</v>
      </c>
      <c r="I304" s="5">
        <v>164.6</v>
      </c>
      <c r="J304" s="5">
        <v>155.4</v>
      </c>
      <c r="K304" s="5">
        <v>166</v>
      </c>
      <c r="L304" s="5">
        <v>115.1</v>
      </c>
      <c r="M304" s="5">
        <v>168.5</v>
      </c>
      <c r="N304" s="5">
        <v>160</v>
      </c>
      <c r="O304" s="5">
        <v>172.4</v>
      </c>
      <c r="P304" s="5">
        <v>162.6</v>
      </c>
      <c r="Q304" s="5">
        <v>190.8</v>
      </c>
      <c r="R304" s="5">
        <v>162.19999999999999</v>
      </c>
      <c r="S304" s="5">
        <v>151.80000000000001</v>
      </c>
      <c r="T304" s="5">
        <v>160.69999999999999</v>
      </c>
      <c r="U304" s="5">
        <v>160.5</v>
      </c>
      <c r="V304" s="5">
        <v>159.80000000000001</v>
      </c>
      <c r="W304" s="5">
        <v>154.80000000000001</v>
      </c>
      <c r="X304" s="5">
        <v>166.3</v>
      </c>
      <c r="Y304" s="5">
        <v>150.69999999999999</v>
      </c>
      <c r="Z304" s="5">
        <v>154.9</v>
      </c>
      <c r="AA304" s="5">
        <v>161.69999999999999</v>
      </c>
      <c r="AB304" s="5">
        <v>158.80000000000001</v>
      </c>
      <c r="AC304" s="5">
        <v>157.6</v>
      </c>
      <c r="AD304" s="5">
        <v>161.30000000000001</v>
      </c>
    </row>
    <row r="305" spans="1:30" x14ac:dyDescent="0.3">
      <c r="A305" t="s">
        <v>30</v>
      </c>
      <c r="B305" s="3">
        <v>2021</v>
      </c>
      <c r="C305" t="s">
        <v>40</v>
      </c>
      <c r="D305" s="5">
        <v>145.1</v>
      </c>
      <c r="E305" s="5">
        <v>204.5</v>
      </c>
      <c r="F305" s="5">
        <v>180.4</v>
      </c>
      <c r="G305" s="5">
        <v>157.1</v>
      </c>
      <c r="H305" s="5">
        <v>188.7</v>
      </c>
      <c r="I305" s="5">
        <v>157.69999999999999</v>
      </c>
      <c r="J305" s="5">
        <v>152.80000000000001</v>
      </c>
      <c r="K305" s="5">
        <v>163.6</v>
      </c>
      <c r="L305" s="5">
        <v>113.9</v>
      </c>
      <c r="M305" s="5">
        <v>169.7</v>
      </c>
      <c r="N305" s="5">
        <v>166.2</v>
      </c>
      <c r="O305" s="5">
        <v>171</v>
      </c>
      <c r="P305" s="5">
        <v>161.69999999999999</v>
      </c>
      <c r="Q305" s="5">
        <v>189.7</v>
      </c>
      <c r="R305" s="5">
        <v>166</v>
      </c>
      <c r="S305" s="5">
        <v>161.1</v>
      </c>
      <c r="T305" s="5">
        <v>165.3</v>
      </c>
      <c r="U305" s="5" t="s">
        <v>32</v>
      </c>
      <c r="V305" s="5">
        <v>162.5</v>
      </c>
      <c r="W305" s="5">
        <v>160.30000000000001</v>
      </c>
      <c r="X305" s="5">
        <v>170.4</v>
      </c>
      <c r="Y305" s="5">
        <v>157.1</v>
      </c>
      <c r="Z305" s="5">
        <v>160.69999999999999</v>
      </c>
      <c r="AA305" s="5">
        <v>167.2</v>
      </c>
      <c r="AB305" s="5">
        <v>160.4</v>
      </c>
      <c r="AC305" s="5">
        <v>162.80000000000001</v>
      </c>
      <c r="AD305" s="5">
        <v>163.19999999999999</v>
      </c>
    </row>
    <row r="306" spans="1:30" x14ac:dyDescent="0.3">
      <c r="A306" t="s">
        <v>33</v>
      </c>
      <c r="B306" s="3">
        <v>2021</v>
      </c>
      <c r="C306" t="s">
        <v>40</v>
      </c>
      <c r="D306" s="5">
        <v>149.1</v>
      </c>
      <c r="E306" s="5">
        <v>210.9</v>
      </c>
      <c r="F306" s="5">
        <v>185</v>
      </c>
      <c r="G306" s="5">
        <v>158.19999999999999</v>
      </c>
      <c r="H306" s="5">
        <v>170.6</v>
      </c>
      <c r="I306" s="5">
        <v>170.9</v>
      </c>
      <c r="J306" s="5">
        <v>186.4</v>
      </c>
      <c r="K306" s="5">
        <v>164.7</v>
      </c>
      <c r="L306" s="5">
        <v>115.7</v>
      </c>
      <c r="M306" s="5">
        <v>165.5</v>
      </c>
      <c r="N306" s="5">
        <v>153.4</v>
      </c>
      <c r="O306" s="5">
        <v>173.5</v>
      </c>
      <c r="P306" s="5">
        <v>167.9</v>
      </c>
      <c r="Q306" s="5">
        <v>195.5</v>
      </c>
      <c r="R306" s="5">
        <v>157.9</v>
      </c>
      <c r="S306" s="5">
        <v>141.9</v>
      </c>
      <c r="T306" s="5">
        <v>155.5</v>
      </c>
      <c r="U306" s="5">
        <v>161.5</v>
      </c>
      <c r="V306" s="5">
        <v>157.69999999999999</v>
      </c>
      <c r="W306" s="5">
        <v>150.69999999999999</v>
      </c>
      <c r="X306" s="5">
        <v>161.5</v>
      </c>
      <c r="Y306" s="5">
        <v>149.5</v>
      </c>
      <c r="Z306" s="5">
        <v>151.19999999999999</v>
      </c>
      <c r="AA306" s="5">
        <v>160.30000000000001</v>
      </c>
      <c r="AB306" s="5">
        <v>159.6</v>
      </c>
      <c r="AC306" s="5">
        <v>155</v>
      </c>
      <c r="AD306" s="5">
        <v>161.80000000000001</v>
      </c>
    </row>
    <row r="307" spans="1:30" x14ac:dyDescent="0.3">
      <c r="A307" t="s">
        <v>34</v>
      </c>
      <c r="B307" s="3">
        <v>2021</v>
      </c>
      <c r="C307" t="s">
        <v>40</v>
      </c>
      <c r="D307" s="5">
        <v>146.4</v>
      </c>
      <c r="E307" s="5">
        <v>206.8</v>
      </c>
      <c r="F307" s="5">
        <v>182.2</v>
      </c>
      <c r="G307" s="5">
        <v>157.5</v>
      </c>
      <c r="H307" s="5">
        <v>182.1</v>
      </c>
      <c r="I307" s="5">
        <v>163.9</v>
      </c>
      <c r="J307" s="5">
        <v>164.2</v>
      </c>
      <c r="K307" s="5">
        <v>164</v>
      </c>
      <c r="L307" s="5">
        <v>114.5</v>
      </c>
      <c r="M307" s="5">
        <v>168.3</v>
      </c>
      <c r="N307" s="5">
        <v>160.9</v>
      </c>
      <c r="O307" s="5">
        <v>172.2</v>
      </c>
      <c r="P307" s="5">
        <v>164</v>
      </c>
      <c r="Q307" s="5">
        <v>191.2</v>
      </c>
      <c r="R307" s="5">
        <v>162.80000000000001</v>
      </c>
      <c r="S307" s="5">
        <v>153.1</v>
      </c>
      <c r="T307" s="5">
        <v>161.4</v>
      </c>
      <c r="U307" s="5">
        <v>161.5</v>
      </c>
      <c r="V307" s="5">
        <v>160.69999999999999</v>
      </c>
      <c r="W307" s="5">
        <v>155.80000000000001</v>
      </c>
      <c r="X307" s="5">
        <v>167</v>
      </c>
      <c r="Y307" s="5">
        <v>153.1</v>
      </c>
      <c r="Z307" s="5">
        <v>155.30000000000001</v>
      </c>
      <c r="AA307" s="5">
        <v>163.19999999999999</v>
      </c>
      <c r="AB307" s="5">
        <v>160.1</v>
      </c>
      <c r="AC307" s="5">
        <v>159</v>
      </c>
      <c r="AD307" s="5">
        <v>162.5</v>
      </c>
    </row>
    <row r="308" spans="1:30" x14ac:dyDescent="0.3">
      <c r="A308" t="s">
        <v>30</v>
      </c>
      <c r="B308" s="3">
        <v>2021</v>
      </c>
      <c r="C308" t="s">
        <v>41</v>
      </c>
      <c r="D308" s="5">
        <v>144.9</v>
      </c>
      <c r="E308" s="5">
        <v>202.3</v>
      </c>
      <c r="F308" s="5">
        <v>176.5</v>
      </c>
      <c r="G308" s="5">
        <v>157.5</v>
      </c>
      <c r="H308" s="5">
        <v>190.9</v>
      </c>
      <c r="I308" s="5">
        <v>155.69999999999999</v>
      </c>
      <c r="J308" s="5">
        <v>153.9</v>
      </c>
      <c r="K308" s="5">
        <v>162.80000000000001</v>
      </c>
      <c r="L308" s="5">
        <v>115.2</v>
      </c>
      <c r="M308" s="5">
        <v>169.8</v>
      </c>
      <c r="N308" s="5">
        <v>167.6</v>
      </c>
      <c r="O308" s="5">
        <v>171.9</v>
      </c>
      <c r="P308" s="5">
        <v>161.80000000000001</v>
      </c>
      <c r="Q308" s="5">
        <v>190.2</v>
      </c>
      <c r="R308" s="5">
        <v>167</v>
      </c>
      <c r="S308" s="5">
        <v>162.6</v>
      </c>
      <c r="T308" s="5">
        <v>166.3</v>
      </c>
      <c r="U308" s="5" t="s">
        <v>32</v>
      </c>
      <c r="V308" s="5">
        <v>163.1</v>
      </c>
      <c r="W308" s="5">
        <v>160.9</v>
      </c>
      <c r="X308" s="5">
        <v>171.1</v>
      </c>
      <c r="Y308" s="5">
        <v>157.69999999999999</v>
      </c>
      <c r="Z308" s="5">
        <v>161.1</v>
      </c>
      <c r="AA308" s="5">
        <v>167.5</v>
      </c>
      <c r="AB308" s="5">
        <v>160.30000000000001</v>
      </c>
      <c r="AC308" s="5">
        <v>163.30000000000001</v>
      </c>
      <c r="AD308" s="5">
        <v>163.6</v>
      </c>
    </row>
    <row r="309" spans="1:30" x14ac:dyDescent="0.3">
      <c r="A309" t="s">
        <v>33</v>
      </c>
      <c r="B309" s="3">
        <v>2021</v>
      </c>
      <c r="C309" t="s">
        <v>41</v>
      </c>
      <c r="D309" s="5">
        <v>149.30000000000001</v>
      </c>
      <c r="E309" s="5">
        <v>207.4</v>
      </c>
      <c r="F309" s="5">
        <v>174.1</v>
      </c>
      <c r="G309" s="5">
        <v>159.19999999999999</v>
      </c>
      <c r="H309" s="5">
        <v>175</v>
      </c>
      <c r="I309" s="5">
        <v>161.30000000000001</v>
      </c>
      <c r="J309" s="5">
        <v>183.3</v>
      </c>
      <c r="K309" s="5">
        <v>164.5</v>
      </c>
      <c r="L309" s="5">
        <v>120.4</v>
      </c>
      <c r="M309" s="5">
        <v>166.2</v>
      </c>
      <c r="N309" s="5">
        <v>154.80000000000001</v>
      </c>
      <c r="O309" s="5">
        <v>175.1</v>
      </c>
      <c r="P309" s="5">
        <v>167.3</v>
      </c>
      <c r="Q309" s="5">
        <v>196.5</v>
      </c>
      <c r="R309" s="5">
        <v>159.80000000000001</v>
      </c>
      <c r="S309" s="5">
        <v>143.6</v>
      </c>
      <c r="T309" s="5">
        <v>157.30000000000001</v>
      </c>
      <c r="U309" s="5">
        <v>162.1</v>
      </c>
      <c r="V309" s="5">
        <v>160.69999999999999</v>
      </c>
      <c r="W309" s="5">
        <v>153.19999999999999</v>
      </c>
      <c r="X309" s="5">
        <v>162.80000000000001</v>
      </c>
      <c r="Y309" s="5">
        <v>150.4</v>
      </c>
      <c r="Z309" s="5">
        <v>153.69999999999999</v>
      </c>
      <c r="AA309" s="5">
        <v>160.4</v>
      </c>
      <c r="AB309" s="5">
        <v>159.6</v>
      </c>
      <c r="AC309" s="5">
        <v>156</v>
      </c>
      <c r="AD309" s="5">
        <v>162.30000000000001</v>
      </c>
    </row>
    <row r="310" spans="1:30" x14ac:dyDescent="0.3">
      <c r="A310" t="s">
        <v>34</v>
      </c>
      <c r="B310" s="3">
        <v>2021</v>
      </c>
      <c r="C310" t="s">
        <v>41</v>
      </c>
      <c r="D310" s="5">
        <v>146.6</v>
      </c>
      <c r="E310" s="5">
        <v>204</v>
      </c>
      <c r="F310" s="5">
        <v>172.8</v>
      </c>
      <c r="G310" s="5">
        <v>158.4</v>
      </c>
      <c r="H310" s="5">
        <v>188</v>
      </c>
      <c r="I310" s="5">
        <v>156.80000000000001</v>
      </c>
      <c r="J310" s="5">
        <v>162.19999999999999</v>
      </c>
      <c r="K310" s="5">
        <v>164.1</v>
      </c>
      <c r="L310" s="5">
        <v>119.7</v>
      </c>
      <c r="M310" s="5">
        <v>168.8</v>
      </c>
      <c r="N310" s="5">
        <v>162.69999999999999</v>
      </c>
      <c r="O310" s="5">
        <v>173.9</v>
      </c>
      <c r="P310" s="5">
        <v>164</v>
      </c>
      <c r="Q310" s="5">
        <v>192.1</v>
      </c>
      <c r="R310" s="5">
        <v>164.5</v>
      </c>
      <c r="S310" s="5">
        <v>155.30000000000001</v>
      </c>
      <c r="T310" s="5">
        <v>163.19999999999999</v>
      </c>
      <c r="U310" s="5">
        <v>162.1</v>
      </c>
      <c r="V310" s="5">
        <v>162.6</v>
      </c>
      <c r="W310" s="5">
        <v>157.5</v>
      </c>
      <c r="X310" s="5">
        <v>168.4</v>
      </c>
      <c r="Y310" s="5">
        <v>154</v>
      </c>
      <c r="Z310" s="5">
        <v>157.6</v>
      </c>
      <c r="AA310" s="5">
        <v>163.80000000000001</v>
      </c>
      <c r="AB310" s="5">
        <v>160</v>
      </c>
      <c r="AC310" s="5">
        <v>160</v>
      </c>
      <c r="AD310" s="5">
        <v>163.19999999999999</v>
      </c>
    </row>
    <row r="311" spans="1:30" x14ac:dyDescent="0.3">
      <c r="A311" t="s">
        <v>30</v>
      </c>
      <c r="B311" s="3">
        <v>2021</v>
      </c>
      <c r="C311" t="s">
        <v>42</v>
      </c>
      <c r="D311" s="5">
        <v>145.4</v>
      </c>
      <c r="E311" s="5">
        <v>202.1</v>
      </c>
      <c r="F311" s="5">
        <v>172</v>
      </c>
      <c r="G311" s="5">
        <v>158</v>
      </c>
      <c r="H311" s="5">
        <v>195.5</v>
      </c>
      <c r="I311" s="5">
        <v>152.69999999999999</v>
      </c>
      <c r="J311" s="5">
        <v>151.4</v>
      </c>
      <c r="K311" s="5">
        <v>163.9</v>
      </c>
      <c r="L311" s="5">
        <v>119.3</v>
      </c>
      <c r="M311" s="5">
        <v>170.1</v>
      </c>
      <c r="N311" s="5">
        <v>168.3</v>
      </c>
      <c r="O311" s="5">
        <v>172.8</v>
      </c>
      <c r="P311" s="5">
        <v>162.1</v>
      </c>
      <c r="Q311" s="5">
        <v>190.5</v>
      </c>
      <c r="R311" s="5">
        <v>167.7</v>
      </c>
      <c r="S311" s="5">
        <v>163.6</v>
      </c>
      <c r="T311" s="5">
        <v>167.1</v>
      </c>
      <c r="U311" s="5" t="s">
        <v>32</v>
      </c>
      <c r="V311" s="5">
        <v>163.69999999999999</v>
      </c>
      <c r="W311" s="5">
        <v>161.30000000000001</v>
      </c>
      <c r="X311" s="5">
        <v>171.9</v>
      </c>
      <c r="Y311" s="5">
        <v>157.80000000000001</v>
      </c>
      <c r="Z311" s="5">
        <v>162.69999999999999</v>
      </c>
      <c r="AA311" s="5">
        <v>168.5</v>
      </c>
      <c r="AB311" s="5">
        <v>160.19999999999999</v>
      </c>
      <c r="AC311" s="5">
        <v>163.80000000000001</v>
      </c>
      <c r="AD311" s="5">
        <v>164</v>
      </c>
    </row>
    <row r="312" spans="1:30" x14ac:dyDescent="0.3">
      <c r="A312" t="s">
        <v>33</v>
      </c>
      <c r="B312" s="3">
        <v>2021</v>
      </c>
      <c r="C312" t="s">
        <v>42</v>
      </c>
      <c r="D312" s="5">
        <v>149.30000000000001</v>
      </c>
      <c r="E312" s="5">
        <v>207.4</v>
      </c>
      <c r="F312" s="5">
        <v>174.1</v>
      </c>
      <c r="G312" s="5">
        <v>159.1</v>
      </c>
      <c r="H312" s="5">
        <v>175</v>
      </c>
      <c r="I312" s="5">
        <v>161.19999999999999</v>
      </c>
      <c r="J312" s="5">
        <v>183.5</v>
      </c>
      <c r="K312" s="5">
        <v>164.5</v>
      </c>
      <c r="L312" s="5">
        <v>120.4</v>
      </c>
      <c r="M312" s="5">
        <v>166.2</v>
      </c>
      <c r="N312" s="5">
        <v>154.80000000000001</v>
      </c>
      <c r="O312" s="5">
        <v>175.1</v>
      </c>
      <c r="P312" s="5">
        <v>167.3</v>
      </c>
      <c r="Q312" s="5">
        <v>196.5</v>
      </c>
      <c r="R312" s="5">
        <v>159.80000000000001</v>
      </c>
      <c r="S312" s="5">
        <v>143.6</v>
      </c>
      <c r="T312" s="5">
        <v>157.4</v>
      </c>
      <c r="U312" s="5">
        <v>162.1</v>
      </c>
      <c r="V312" s="5">
        <v>160.80000000000001</v>
      </c>
      <c r="W312" s="5">
        <v>153.30000000000001</v>
      </c>
      <c r="X312" s="5">
        <v>162.80000000000001</v>
      </c>
      <c r="Y312" s="5">
        <v>150.5</v>
      </c>
      <c r="Z312" s="5">
        <v>153.9</v>
      </c>
      <c r="AA312" s="5">
        <v>160.30000000000001</v>
      </c>
      <c r="AB312" s="5">
        <v>159.6</v>
      </c>
      <c r="AC312" s="5">
        <v>156</v>
      </c>
      <c r="AD312" s="5">
        <v>162.30000000000001</v>
      </c>
    </row>
    <row r="313" spans="1:30" x14ac:dyDescent="0.3">
      <c r="A313" t="s">
        <v>34</v>
      </c>
      <c r="B313" s="3">
        <v>2021</v>
      </c>
      <c r="C313" t="s">
        <v>42</v>
      </c>
      <c r="D313" s="5">
        <v>146.6</v>
      </c>
      <c r="E313" s="5">
        <v>204</v>
      </c>
      <c r="F313" s="5">
        <v>172.8</v>
      </c>
      <c r="G313" s="5">
        <v>158.4</v>
      </c>
      <c r="H313" s="5">
        <v>188</v>
      </c>
      <c r="I313" s="5">
        <v>156.69999999999999</v>
      </c>
      <c r="J313" s="5">
        <v>162.30000000000001</v>
      </c>
      <c r="K313" s="5">
        <v>164.1</v>
      </c>
      <c r="L313" s="5">
        <v>119.7</v>
      </c>
      <c r="M313" s="5">
        <v>168.8</v>
      </c>
      <c r="N313" s="5">
        <v>162.69999999999999</v>
      </c>
      <c r="O313" s="5">
        <v>173.9</v>
      </c>
      <c r="P313" s="5">
        <v>164</v>
      </c>
      <c r="Q313" s="5">
        <v>192.1</v>
      </c>
      <c r="R313" s="5">
        <v>164.6</v>
      </c>
      <c r="S313" s="5">
        <v>155.30000000000001</v>
      </c>
      <c r="T313" s="5">
        <v>163.30000000000001</v>
      </c>
      <c r="U313" s="5">
        <v>162.1</v>
      </c>
      <c r="V313" s="5">
        <v>162.6</v>
      </c>
      <c r="W313" s="5">
        <v>157.5</v>
      </c>
      <c r="X313" s="5">
        <v>168.4</v>
      </c>
      <c r="Y313" s="5">
        <v>154</v>
      </c>
      <c r="Z313" s="5">
        <v>157.69999999999999</v>
      </c>
      <c r="AA313" s="5">
        <v>163.69999999999999</v>
      </c>
      <c r="AB313" s="5">
        <v>160</v>
      </c>
      <c r="AC313" s="5">
        <v>160</v>
      </c>
      <c r="AD313" s="5">
        <v>163.19999999999999</v>
      </c>
    </row>
    <row r="314" spans="1:30" x14ac:dyDescent="0.3">
      <c r="A314" t="s">
        <v>30</v>
      </c>
      <c r="B314" s="3">
        <v>2021</v>
      </c>
      <c r="C314" t="s">
        <v>43</v>
      </c>
      <c r="D314" s="5">
        <v>146.1</v>
      </c>
      <c r="E314" s="5">
        <v>202.5</v>
      </c>
      <c r="F314" s="5">
        <v>170.1</v>
      </c>
      <c r="G314" s="5">
        <v>158.4</v>
      </c>
      <c r="H314" s="5">
        <v>198.8</v>
      </c>
      <c r="I314" s="5">
        <v>152.6</v>
      </c>
      <c r="J314" s="5">
        <v>170.4</v>
      </c>
      <c r="K314" s="5">
        <v>165.2</v>
      </c>
      <c r="L314" s="5">
        <v>121.6</v>
      </c>
      <c r="M314" s="5">
        <v>170.6</v>
      </c>
      <c r="N314" s="5">
        <v>168.8</v>
      </c>
      <c r="O314" s="5">
        <v>173.6</v>
      </c>
      <c r="P314" s="5">
        <v>165.5</v>
      </c>
      <c r="Q314" s="5">
        <v>191.2</v>
      </c>
      <c r="R314" s="5">
        <v>168.9</v>
      </c>
      <c r="S314" s="5">
        <v>164.8</v>
      </c>
      <c r="T314" s="5">
        <v>168.3</v>
      </c>
      <c r="U314" s="5" t="s">
        <v>32</v>
      </c>
      <c r="V314" s="5">
        <v>165.5</v>
      </c>
      <c r="W314" s="5">
        <v>162</v>
      </c>
      <c r="X314" s="5">
        <v>172.5</v>
      </c>
      <c r="Y314" s="5">
        <v>159.5</v>
      </c>
      <c r="Z314" s="5">
        <v>163.19999999999999</v>
      </c>
      <c r="AA314" s="5">
        <v>169</v>
      </c>
      <c r="AB314" s="5">
        <v>161.1</v>
      </c>
      <c r="AC314" s="5">
        <v>164.7</v>
      </c>
      <c r="AD314" s="5">
        <v>166.3</v>
      </c>
    </row>
    <row r="315" spans="1:30" x14ac:dyDescent="0.3">
      <c r="A315" t="s">
        <v>33</v>
      </c>
      <c r="B315" s="3">
        <v>2021</v>
      </c>
      <c r="C315" t="s">
        <v>43</v>
      </c>
      <c r="D315" s="5">
        <v>150.1</v>
      </c>
      <c r="E315" s="5">
        <v>208.4</v>
      </c>
      <c r="F315" s="5">
        <v>173</v>
      </c>
      <c r="G315" s="5">
        <v>159.19999999999999</v>
      </c>
      <c r="H315" s="5">
        <v>176.6</v>
      </c>
      <c r="I315" s="5">
        <v>159.30000000000001</v>
      </c>
      <c r="J315" s="5">
        <v>214.4</v>
      </c>
      <c r="K315" s="5">
        <v>165.3</v>
      </c>
      <c r="L315" s="5">
        <v>122.5</v>
      </c>
      <c r="M315" s="5">
        <v>166.8</v>
      </c>
      <c r="N315" s="5">
        <v>155.4</v>
      </c>
      <c r="O315" s="5">
        <v>175.9</v>
      </c>
      <c r="P315" s="5">
        <v>171.5</v>
      </c>
      <c r="Q315" s="5">
        <v>197</v>
      </c>
      <c r="R315" s="5">
        <v>160.80000000000001</v>
      </c>
      <c r="S315" s="5">
        <v>144.4</v>
      </c>
      <c r="T315" s="5">
        <v>158.30000000000001</v>
      </c>
      <c r="U315" s="5">
        <v>163.6</v>
      </c>
      <c r="V315" s="5">
        <v>162.19999999999999</v>
      </c>
      <c r="W315" s="5">
        <v>154.30000000000001</v>
      </c>
      <c r="X315" s="5">
        <v>163.5</v>
      </c>
      <c r="Y315" s="5">
        <v>152.19999999999999</v>
      </c>
      <c r="Z315" s="5">
        <v>155.1</v>
      </c>
      <c r="AA315" s="5">
        <v>160.30000000000001</v>
      </c>
      <c r="AB315" s="5">
        <v>160.30000000000001</v>
      </c>
      <c r="AC315" s="5">
        <v>157</v>
      </c>
      <c r="AD315" s="5">
        <v>164.6</v>
      </c>
    </row>
    <row r="316" spans="1:30" x14ac:dyDescent="0.3">
      <c r="A316" t="s">
        <v>34</v>
      </c>
      <c r="B316" s="3">
        <v>2021</v>
      </c>
      <c r="C316" t="s">
        <v>43</v>
      </c>
      <c r="D316" s="5">
        <v>147.4</v>
      </c>
      <c r="E316" s="5">
        <v>204.6</v>
      </c>
      <c r="F316" s="5">
        <v>171.2</v>
      </c>
      <c r="G316" s="5">
        <v>158.69999999999999</v>
      </c>
      <c r="H316" s="5">
        <v>190.6</v>
      </c>
      <c r="I316" s="5">
        <v>155.69999999999999</v>
      </c>
      <c r="J316" s="5">
        <v>185.3</v>
      </c>
      <c r="K316" s="5">
        <v>165.2</v>
      </c>
      <c r="L316" s="5">
        <v>121.9</v>
      </c>
      <c r="M316" s="5">
        <v>169.3</v>
      </c>
      <c r="N316" s="5">
        <v>163.19999999999999</v>
      </c>
      <c r="O316" s="5">
        <v>174.7</v>
      </c>
      <c r="P316" s="5">
        <v>167.7</v>
      </c>
      <c r="Q316" s="5">
        <v>192.7</v>
      </c>
      <c r="R316" s="5">
        <v>165.7</v>
      </c>
      <c r="S316" s="5">
        <v>156.30000000000001</v>
      </c>
      <c r="T316" s="5">
        <v>164.3</v>
      </c>
      <c r="U316" s="5">
        <v>163.6</v>
      </c>
      <c r="V316" s="5">
        <v>164.2</v>
      </c>
      <c r="W316" s="5">
        <v>158.4</v>
      </c>
      <c r="X316" s="5">
        <v>169.1</v>
      </c>
      <c r="Y316" s="5">
        <v>155.69999999999999</v>
      </c>
      <c r="Z316" s="5">
        <v>158.6</v>
      </c>
      <c r="AA316" s="5">
        <v>163.9</v>
      </c>
      <c r="AB316" s="5">
        <v>160.80000000000001</v>
      </c>
      <c r="AC316" s="5">
        <v>161</v>
      </c>
      <c r="AD316" s="5">
        <v>165.5</v>
      </c>
    </row>
    <row r="317" spans="1:30" x14ac:dyDescent="0.3">
      <c r="A317" t="s">
        <v>30</v>
      </c>
      <c r="B317" s="3">
        <v>2021</v>
      </c>
      <c r="C317" t="s">
        <v>45</v>
      </c>
      <c r="D317" s="5">
        <v>146.9</v>
      </c>
      <c r="E317" s="5">
        <v>199.8</v>
      </c>
      <c r="F317" s="5">
        <v>171.5</v>
      </c>
      <c r="G317" s="5">
        <v>159.1</v>
      </c>
      <c r="H317" s="5">
        <v>198.4</v>
      </c>
      <c r="I317" s="5">
        <v>153.19999999999999</v>
      </c>
      <c r="J317" s="5">
        <v>183.9</v>
      </c>
      <c r="K317" s="5">
        <v>165.4</v>
      </c>
      <c r="L317" s="5">
        <v>122.1</v>
      </c>
      <c r="M317" s="5">
        <v>170.8</v>
      </c>
      <c r="N317" s="5">
        <v>169.1</v>
      </c>
      <c r="O317" s="5">
        <v>174.3</v>
      </c>
      <c r="P317" s="5">
        <v>167.5</v>
      </c>
      <c r="Q317" s="5">
        <v>191.4</v>
      </c>
      <c r="R317" s="5">
        <v>170.4</v>
      </c>
      <c r="S317" s="5">
        <v>166</v>
      </c>
      <c r="T317" s="5">
        <v>169.8</v>
      </c>
      <c r="U317" s="5" t="s">
        <v>32</v>
      </c>
      <c r="V317" s="5">
        <v>165.3</v>
      </c>
      <c r="W317" s="5">
        <v>162.9</v>
      </c>
      <c r="X317" s="5">
        <v>173.4</v>
      </c>
      <c r="Y317" s="5">
        <v>158.9</v>
      </c>
      <c r="Z317" s="5">
        <v>163.80000000000001</v>
      </c>
      <c r="AA317" s="5">
        <v>169.3</v>
      </c>
      <c r="AB317" s="5">
        <v>162.4</v>
      </c>
      <c r="AC317" s="5">
        <v>165.2</v>
      </c>
      <c r="AD317" s="5">
        <v>167.6</v>
      </c>
    </row>
    <row r="318" spans="1:30" x14ac:dyDescent="0.3">
      <c r="A318" t="s">
        <v>33</v>
      </c>
      <c r="B318" s="3">
        <v>2021</v>
      </c>
      <c r="C318" t="s">
        <v>45</v>
      </c>
      <c r="D318" s="5">
        <v>151</v>
      </c>
      <c r="E318" s="5">
        <v>204.9</v>
      </c>
      <c r="F318" s="5">
        <v>175.4</v>
      </c>
      <c r="G318" s="5">
        <v>159.6</v>
      </c>
      <c r="H318" s="5">
        <v>175.8</v>
      </c>
      <c r="I318" s="5">
        <v>160.30000000000001</v>
      </c>
      <c r="J318" s="5">
        <v>229.1</v>
      </c>
      <c r="K318" s="5">
        <v>165.1</v>
      </c>
      <c r="L318" s="5">
        <v>123.1</v>
      </c>
      <c r="M318" s="5">
        <v>167.2</v>
      </c>
      <c r="N318" s="5">
        <v>156.1</v>
      </c>
      <c r="O318" s="5">
        <v>176.8</v>
      </c>
      <c r="P318" s="5">
        <v>173.5</v>
      </c>
      <c r="Q318" s="5">
        <v>197</v>
      </c>
      <c r="R318" s="5">
        <v>162.30000000000001</v>
      </c>
      <c r="S318" s="5">
        <v>145.30000000000001</v>
      </c>
      <c r="T318" s="5">
        <v>159.69999999999999</v>
      </c>
      <c r="U318" s="5">
        <v>164.2</v>
      </c>
      <c r="V318" s="5">
        <v>161.6</v>
      </c>
      <c r="W318" s="5">
        <v>155.19999999999999</v>
      </c>
      <c r="X318" s="5">
        <v>164.2</v>
      </c>
      <c r="Y318" s="5">
        <v>151.19999999999999</v>
      </c>
      <c r="Z318" s="5">
        <v>156.69999999999999</v>
      </c>
      <c r="AA318" s="5">
        <v>160.80000000000001</v>
      </c>
      <c r="AB318" s="5">
        <v>161.80000000000001</v>
      </c>
      <c r="AC318" s="5">
        <v>157.30000000000001</v>
      </c>
      <c r="AD318" s="5">
        <v>165.6</v>
      </c>
    </row>
    <row r="319" spans="1:30" x14ac:dyDescent="0.3">
      <c r="A319" t="s">
        <v>34</v>
      </c>
      <c r="B319" s="3">
        <v>2021</v>
      </c>
      <c r="C319" t="s">
        <v>45</v>
      </c>
      <c r="D319" s="5">
        <v>148.19999999999999</v>
      </c>
      <c r="E319" s="5">
        <v>201.6</v>
      </c>
      <c r="F319" s="5">
        <v>173</v>
      </c>
      <c r="G319" s="5">
        <v>159.30000000000001</v>
      </c>
      <c r="H319" s="5">
        <v>190.1</v>
      </c>
      <c r="I319" s="5">
        <v>156.5</v>
      </c>
      <c r="J319" s="5">
        <v>199.2</v>
      </c>
      <c r="K319" s="5">
        <v>165.3</v>
      </c>
      <c r="L319" s="5">
        <v>122.4</v>
      </c>
      <c r="M319" s="5">
        <v>169.6</v>
      </c>
      <c r="N319" s="5">
        <v>163.69999999999999</v>
      </c>
      <c r="O319" s="5">
        <v>175.5</v>
      </c>
      <c r="P319" s="5">
        <v>169.7</v>
      </c>
      <c r="Q319" s="5">
        <v>192.9</v>
      </c>
      <c r="R319" s="5">
        <v>167.2</v>
      </c>
      <c r="S319" s="5">
        <v>157.4</v>
      </c>
      <c r="T319" s="5">
        <v>165.8</v>
      </c>
      <c r="U319" s="5">
        <v>164.2</v>
      </c>
      <c r="V319" s="5">
        <v>163.9</v>
      </c>
      <c r="W319" s="5">
        <v>159.30000000000001</v>
      </c>
      <c r="X319" s="5">
        <v>169.9</v>
      </c>
      <c r="Y319" s="5">
        <v>154.80000000000001</v>
      </c>
      <c r="Z319" s="5">
        <v>159.80000000000001</v>
      </c>
      <c r="AA319" s="5">
        <v>164.3</v>
      </c>
      <c r="AB319" s="5">
        <v>162.19999999999999</v>
      </c>
      <c r="AC319" s="5">
        <v>161.4</v>
      </c>
      <c r="AD319" s="5">
        <v>166.7</v>
      </c>
    </row>
    <row r="320" spans="1:30" x14ac:dyDescent="0.3">
      <c r="A320" t="s">
        <v>30</v>
      </c>
      <c r="B320" s="3">
        <v>2021</v>
      </c>
      <c r="C320" t="s">
        <v>46</v>
      </c>
      <c r="D320" s="5">
        <v>147.4</v>
      </c>
      <c r="E320" s="5">
        <v>197</v>
      </c>
      <c r="F320" s="5">
        <v>176.5</v>
      </c>
      <c r="G320" s="5">
        <v>159.80000000000001</v>
      </c>
      <c r="H320" s="5">
        <v>195.8</v>
      </c>
      <c r="I320" s="5">
        <v>152</v>
      </c>
      <c r="J320" s="5">
        <v>172.3</v>
      </c>
      <c r="K320" s="5">
        <v>164.5</v>
      </c>
      <c r="L320" s="5">
        <v>120.6</v>
      </c>
      <c r="M320" s="5">
        <v>171.7</v>
      </c>
      <c r="N320" s="5">
        <v>169.7</v>
      </c>
      <c r="O320" s="5">
        <v>175.1</v>
      </c>
      <c r="P320" s="5">
        <v>165.8</v>
      </c>
      <c r="Q320" s="5">
        <v>190.8</v>
      </c>
      <c r="R320" s="5">
        <v>171.8</v>
      </c>
      <c r="S320" s="5">
        <v>167.3</v>
      </c>
      <c r="T320" s="5">
        <v>171.2</v>
      </c>
      <c r="U320" s="5" t="s">
        <v>32</v>
      </c>
      <c r="V320" s="5">
        <v>165.6</v>
      </c>
      <c r="W320" s="5">
        <v>163.9</v>
      </c>
      <c r="X320" s="5">
        <v>174</v>
      </c>
      <c r="Y320" s="5">
        <v>160.1</v>
      </c>
      <c r="Z320" s="5">
        <v>164.5</v>
      </c>
      <c r="AA320" s="5">
        <v>169.7</v>
      </c>
      <c r="AB320" s="5">
        <v>162.80000000000001</v>
      </c>
      <c r="AC320" s="5">
        <v>166</v>
      </c>
      <c r="AD320" s="5">
        <v>167</v>
      </c>
    </row>
    <row r="321" spans="1:30" x14ac:dyDescent="0.3">
      <c r="A321" t="s">
        <v>33</v>
      </c>
      <c r="B321" s="3">
        <v>2021</v>
      </c>
      <c r="C321" t="s">
        <v>46</v>
      </c>
      <c r="D321" s="5">
        <v>151.6</v>
      </c>
      <c r="E321" s="5">
        <v>202.2</v>
      </c>
      <c r="F321" s="5">
        <v>180</v>
      </c>
      <c r="G321" s="5">
        <v>160</v>
      </c>
      <c r="H321" s="5">
        <v>173.5</v>
      </c>
      <c r="I321" s="5">
        <v>158.30000000000001</v>
      </c>
      <c r="J321" s="5">
        <v>219.5</v>
      </c>
      <c r="K321" s="5">
        <v>164.2</v>
      </c>
      <c r="L321" s="5">
        <v>121.9</v>
      </c>
      <c r="M321" s="5">
        <v>168.2</v>
      </c>
      <c r="N321" s="5">
        <v>156.5</v>
      </c>
      <c r="O321" s="5">
        <v>178.2</v>
      </c>
      <c r="P321" s="5">
        <v>172.2</v>
      </c>
      <c r="Q321" s="5">
        <v>196.8</v>
      </c>
      <c r="R321" s="5">
        <v>163.30000000000001</v>
      </c>
      <c r="S321" s="5">
        <v>146.69999999999999</v>
      </c>
      <c r="T321" s="5">
        <v>160.69999999999999</v>
      </c>
      <c r="U321" s="5">
        <v>163.4</v>
      </c>
      <c r="V321" s="5">
        <v>161.69999999999999</v>
      </c>
      <c r="W321" s="5">
        <v>156</v>
      </c>
      <c r="X321" s="5">
        <v>165.1</v>
      </c>
      <c r="Y321" s="5">
        <v>151.80000000000001</v>
      </c>
      <c r="Z321" s="5">
        <v>157.6</v>
      </c>
      <c r="AA321" s="5">
        <v>160.6</v>
      </c>
      <c r="AB321" s="5">
        <v>162.4</v>
      </c>
      <c r="AC321" s="5">
        <v>157.80000000000001</v>
      </c>
      <c r="AD321" s="5">
        <v>165.2</v>
      </c>
    </row>
    <row r="322" spans="1:30" x14ac:dyDescent="0.3">
      <c r="A322" t="s">
        <v>34</v>
      </c>
      <c r="B322" s="3">
        <v>2021</v>
      </c>
      <c r="C322" t="s">
        <v>46</v>
      </c>
      <c r="D322" s="5">
        <v>148.69999999999999</v>
      </c>
      <c r="E322" s="5">
        <v>198.8</v>
      </c>
      <c r="F322" s="5">
        <v>177.9</v>
      </c>
      <c r="G322" s="5">
        <v>159.9</v>
      </c>
      <c r="H322" s="5">
        <v>187.6</v>
      </c>
      <c r="I322" s="5">
        <v>154.9</v>
      </c>
      <c r="J322" s="5">
        <v>188.3</v>
      </c>
      <c r="K322" s="5">
        <v>164.4</v>
      </c>
      <c r="L322" s="5">
        <v>121</v>
      </c>
      <c r="M322" s="5">
        <v>170.5</v>
      </c>
      <c r="N322" s="5">
        <v>164.2</v>
      </c>
      <c r="O322" s="5">
        <v>176.5</v>
      </c>
      <c r="P322" s="5">
        <v>168.2</v>
      </c>
      <c r="Q322" s="5">
        <v>192.4</v>
      </c>
      <c r="R322" s="5">
        <v>168.5</v>
      </c>
      <c r="S322" s="5">
        <v>158.69999999999999</v>
      </c>
      <c r="T322" s="5">
        <v>167</v>
      </c>
      <c r="U322" s="5">
        <v>163.4</v>
      </c>
      <c r="V322" s="5">
        <v>164.1</v>
      </c>
      <c r="W322" s="5">
        <v>160.19999999999999</v>
      </c>
      <c r="X322" s="5">
        <v>170.6</v>
      </c>
      <c r="Y322" s="5">
        <v>155.69999999999999</v>
      </c>
      <c r="Z322" s="5">
        <v>160.6</v>
      </c>
      <c r="AA322" s="5">
        <v>164.4</v>
      </c>
      <c r="AB322" s="5">
        <v>162.6</v>
      </c>
      <c r="AC322" s="5">
        <v>162</v>
      </c>
      <c r="AD322" s="5">
        <v>166.2</v>
      </c>
    </row>
    <row r="323" spans="1:30" x14ac:dyDescent="0.3">
      <c r="A323" t="s">
        <v>30</v>
      </c>
      <c r="B323" s="3">
        <v>2022</v>
      </c>
      <c r="C323" t="s">
        <v>31</v>
      </c>
      <c r="D323" s="5">
        <v>148.30000000000001</v>
      </c>
      <c r="E323" s="5">
        <v>196.9</v>
      </c>
      <c r="F323" s="5">
        <v>178</v>
      </c>
      <c r="G323" s="5">
        <v>160.5</v>
      </c>
      <c r="H323" s="5">
        <v>192.6</v>
      </c>
      <c r="I323" s="5">
        <v>151.19999999999999</v>
      </c>
      <c r="J323" s="5">
        <v>159.19999999999999</v>
      </c>
      <c r="K323" s="5">
        <v>164</v>
      </c>
      <c r="L323" s="5">
        <v>119.3</v>
      </c>
      <c r="M323" s="5">
        <v>173.3</v>
      </c>
      <c r="N323" s="5">
        <v>169.8</v>
      </c>
      <c r="O323" s="5">
        <v>175.8</v>
      </c>
      <c r="P323" s="5">
        <v>164.1</v>
      </c>
      <c r="Q323" s="5">
        <v>190.7</v>
      </c>
      <c r="R323" s="5">
        <v>173.2</v>
      </c>
      <c r="S323" s="5">
        <v>169.3</v>
      </c>
      <c r="T323" s="5">
        <v>172.7</v>
      </c>
      <c r="U323" s="5" t="s">
        <v>32</v>
      </c>
      <c r="V323" s="5">
        <v>165.8</v>
      </c>
      <c r="W323" s="5">
        <v>164.9</v>
      </c>
      <c r="X323" s="5">
        <v>174.7</v>
      </c>
      <c r="Y323" s="5">
        <v>160.80000000000001</v>
      </c>
      <c r="Z323" s="5">
        <v>164.9</v>
      </c>
      <c r="AA323" s="5">
        <v>169.9</v>
      </c>
      <c r="AB323" s="5">
        <v>163.19999999999999</v>
      </c>
      <c r="AC323" s="5">
        <v>166.6</v>
      </c>
      <c r="AD323" s="5">
        <v>166.4</v>
      </c>
    </row>
    <row r="324" spans="1:30" x14ac:dyDescent="0.3">
      <c r="A324" t="s">
        <v>33</v>
      </c>
      <c r="B324" s="3">
        <v>2022</v>
      </c>
      <c r="C324" t="s">
        <v>31</v>
      </c>
      <c r="D324" s="5">
        <v>152.19999999999999</v>
      </c>
      <c r="E324" s="5">
        <v>202.1</v>
      </c>
      <c r="F324" s="5">
        <v>180.1</v>
      </c>
      <c r="G324" s="5">
        <v>160.4</v>
      </c>
      <c r="H324" s="5">
        <v>171</v>
      </c>
      <c r="I324" s="5">
        <v>156.5</v>
      </c>
      <c r="J324" s="5">
        <v>203.6</v>
      </c>
      <c r="K324" s="5">
        <v>163.80000000000001</v>
      </c>
      <c r="L324" s="5">
        <v>121.3</v>
      </c>
      <c r="M324" s="5">
        <v>169.8</v>
      </c>
      <c r="N324" s="5">
        <v>156.6</v>
      </c>
      <c r="O324" s="5">
        <v>179</v>
      </c>
      <c r="P324" s="5">
        <v>170.3</v>
      </c>
      <c r="Q324" s="5">
        <v>196.4</v>
      </c>
      <c r="R324" s="5">
        <v>164.7</v>
      </c>
      <c r="S324" s="5">
        <v>148.5</v>
      </c>
      <c r="T324" s="5">
        <v>162.19999999999999</v>
      </c>
      <c r="U324" s="5">
        <v>164.5</v>
      </c>
      <c r="V324" s="5">
        <v>161.6</v>
      </c>
      <c r="W324" s="5">
        <v>156.80000000000001</v>
      </c>
      <c r="X324" s="5">
        <v>166.1</v>
      </c>
      <c r="Y324" s="5">
        <v>152.69999999999999</v>
      </c>
      <c r="Z324" s="5">
        <v>158.4</v>
      </c>
      <c r="AA324" s="5">
        <v>161</v>
      </c>
      <c r="AB324" s="5">
        <v>162.80000000000001</v>
      </c>
      <c r="AC324" s="5">
        <v>158.6</v>
      </c>
      <c r="AD324" s="5">
        <v>165</v>
      </c>
    </row>
    <row r="325" spans="1:30" x14ac:dyDescent="0.3">
      <c r="A325" t="s">
        <v>34</v>
      </c>
      <c r="B325" s="3">
        <v>2022</v>
      </c>
      <c r="C325" t="s">
        <v>31</v>
      </c>
      <c r="D325" s="5">
        <v>149.5</v>
      </c>
      <c r="E325" s="5">
        <v>198.7</v>
      </c>
      <c r="F325" s="5">
        <v>178.8</v>
      </c>
      <c r="G325" s="5">
        <v>160.5</v>
      </c>
      <c r="H325" s="5">
        <v>184.7</v>
      </c>
      <c r="I325" s="5">
        <v>153.69999999999999</v>
      </c>
      <c r="J325" s="5">
        <v>174.3</v>
      </c>
      <c r="K325" s="5">
        <v>163.9</v>
      </c>
      <c r="L325" s="5">
        <v>120</v>
      </c>
      <c r="M325" s="5">
        <v>172.1</v>
      </c>
      <c r="N325" s="5">
        <v>164.3</v>
      </c>
      <c r="O325" s="5">
        <v>177.3</v>
      </c>
      <c r="P325" s="5">
        <v>166.4</v>
      </c>
      <c r="Q325" s="5">
        <v>192.2</v>
      </c>
      <c r="R325" s="5">
        <v>169.9</v>
      </c>
      <c r="S325" s="5">
        <v>160.69999999999999</v>
      </c>
      <c r="T325" s="5">
        <v>168.5</v>
      </c>
      <c r="U325" s="5">
        <v>164.5</v>
      </c>
      <c r="V325" s="5">
        <v>164.2</v>
      </c>
      <c r="W325" s="5">
        <v>161.1</v>
      </c>
      <c r="X325" s="5">
        <v>171.4</v>
      </c>
      <c r="Y325" s="5">
        <v>156.5</v>
      </c>
      <c r="Z325" s="5">
        <v>161.19999999999999</v>
      </c>
      <c r="AA325" s="5">
        <v>164.7</v>
      </c>
      <c r="AB325" s="5">
        <v>163</v>
      </c>
      <c r="AC325" s="5">
        <v>162.69999999999999</v>
      </c>
      <c r="AD325" s="5">
        <v>165.7</v>
      </c>
    </row>
    <row r="326" spans="1:30" x14ac:dyDescent="0.3">
      <c r="A326" t="s">
        <v>30</v>
      </c>
      <c r="B326" s="3">
        <v>2022</v>
      </c>
      <c r="C326" t="s">
        <v>35</v>
      </c>
      <c r="D326" s="5">
        <v>148.80000000000001</v>
      </c>
      <c r="E326" s="5">
        <v>198.1</v>
      </c>
      <c r="F326" s="5">
        <v>175.5</v>
      </c>
      <c r="G326" s="5">
        <v>160.69999999999999</v>
      </c>
      <c r="H326" s="5">
        <v>192.6</v>
      </c>
      <c r="I326" s="5">
        <v>151.4</v>
      </c>
      <c r="J326" s="5">
        <v>155.19999999999999</v>
      </c>
      <c r="K326" s="5">
        <v>163.9</v>
      </c>
      <c r="L326" s="5">
        <v>118.1</v>
      </c>
      <c r="M326" s="5">
        <v>175.4</v>
      </c>
      <c r="N326" s="5">
        <v>170.5</v>
      </c>
      <c r="O326" s="5">
        <v>176.3</v>
      </c>
      <c r="P326" s="5">
        <v>163.9</v>
      </c>
      <c r="Q326" s="5">
        <v>191.5</v>
      </c>
      <c r="R326" s="5">
        <v>174.1</v>
      </c>
      <c r="S326" s="5">
        <v>171</v>
      </c>
      <c r="T326" s="5">
        <v>173.7</v>
      </c>
      <c r="U326" s="5" t="s">
        <v>32</v>
      </c>
      <c r="V326" s="5">
        <v>167.4</v>
      </c>
      <c r="W326" s="5">
        <v>165.7</v>
      </c>
      <c r="X326" s="5">
        <v>175.3</v>
      </c>
      <c r="Y326" s="5">
        <v>161.19999999999999</v>
      </c>
      <c r="Z326" s="5">
        <v>165.5</v>
      </c>
      <c r="AA326" s="5">
        <v>170.3</v>
      </c>
      <c r="AB326" s="5">
        <v>164.5</v>
      </c>
      <c r="AC326" s="5">
        <v>167.3</v>
      </c>
      <c r="AD326" s="5">
        <v>166.7</v>
      </c>
    </row>
    <row r="327" spans="1:30" x14ac:dyDescent="0.3">
      <c r="A327" t="s">
        <v>33</v>
      </c>
      <c r="B327" s="3">
        <v>2022</v>
      </c>
      <c r="C327" t="s">
        <v>35</v>
      </c>
      <c r="D327" s="5">
        <v>152.5</v>
      </c>
      <c r="E327" s="5">
        <v>205.2</v>
      </c>
      <c r="F327" s="5">
        <v>176.4</v>
      </c>
      <c r="G327" s="5">
        <v>160.6</v>
      </c>
      <c r="H327" s="5">
        <v>171.5</v>
      </c>
      <c r="I327" s="5">
        <v>156.4</v>
      </c>
      <c r="J327" s="5">
        <v>198</v>
      </c>
      <c r="K327" s="5">
        <v>163.19999999999999</v>
      </c>
      <c r="L327" s="5">
        <v>120.6</v>
      </c>
      <c r="M327" s="5">
        <v>172.2</v>
      </c>
      <c r="N327" s="5">
        <v>156.69999999999999</v>
      </c>
      <c r="O327" s="5">
        <v>180</v>
      </c>
      <c r="P327" s="5">
        <v>170.2</v>
      </c>
      <c r="Q327" s="5">
        <v>196.5</v>
      </c>
      <c r="R327" s="5">
        <v>165.7</v>
      </c>
      <c r="S327" s="5">
        <v>150.4</v>
      </c>
      <c r="T327" s="5">
        <v>163.4</v>
      </c>
      <c r="U327" s="5">
        <v>165.5</v>
      </c>
      <c r="V327" s="5">
        <v>163</v>
      </c>
      <c r="W327" s="5">
        <v>157.4</v>
      </c>
      <c r="X327" s="5">
        <v>167.2</v>
      </c>
      <c r="Y327" s="5">
        <v>153.1</v>
      </c>
      <c r="Z327" s="5">
        <v>159.5</v>
      </c>
      <c r="AA327" s="5">
        <v>162</v>
      </c>
      <c r="AB327" s="5">
        <v>164.2</v>
      </c>
      <c r="AC327" s="5">
        <v>159.4</v>
      </c>
      <c r="AD327" s="5">
        <v>165.5</v>
      </c>
    </row>
    <row r="328" spans="1:30" x14ac:dyDescent="0.3">
      <c r="A328" t="s">
        <v>34</v>
      </c>
      <c r="B328" s="3">
        <v>2022</v>
      </c>
      <c r="C328" t="s">
        <v>35</v>
      </c>
      <c r="D328" s="5">
        <v>150</v>
      </c>
      <c r="E328" s="5">
        <v>200.6</v>
      </c>
      <c r="F328" s="5">
        <v>175.8</v>
      </c>
      <c r="G328" s="5">
        <v>160.69999999999999</v>
      </c>
      <c r="H328" s="5">
        <v>184.9</v>
      </c>
      <c r="I328" s="5">
        <v>153.69999999999999</v>
      </c>
      <c r="J328" s="5">
        <v>169.7</v>
      </c>
      <c r="K328" s="5">
        <v>163.69999999999999</v>
      </c>
      <c r="L328" s="5">
        <v>118.9</v>
      </c>
      <c r="M328" s="5">
        <v>174.3</v>
      </c>
      <c r="N328" s="5">
        <v>164.7</v>
      </c>
      <c r="O328" s="5">
        <v>178</v>
      </c>
      <c r="P328" s="5">
        <v>166.2</v>
      </c>
      <c r="Q328" s="5">
        <v>192.8</v>
      </c>
      <c r="R328" s="5">
        <v>170.8</v>
      </c>
      <c r="S328" s="5">
        <v>162.4</v>
      </c>
      <c r="T328" s="5">
        <v>169.6</v>
      </c>
      <c r="U328" s="5">
        <v>165.5</v>
      </c>
      <c r="V328" s="5">
        <v>165.7</v>
      </c>
      <c r="W328" s="5">
        <v>161.80000000000001</v>
      </c>
      <c r="X328" s="5">
        <v>172.2</v>
      </c>
      <c r="Y328" s="5">
        <v>156.9</v>
      </c>
      <c r="Z328" s="5">
        <v>162.1</v>
      </c>
      <c r="AA328" s="5">
        <v>165.4</v>
      </c>
      <c r="AB328" s="5">
        <v>164.4</v>
      </c>
      <c r="AC328" s="5">
        <v>163.5</v>
      </c>
      <c r="AD328" s="5">
        <v>166.1</v>
      </c>
    </row>
    <row r="329" spans="1:30" x14ac:dyDescent="0.3">
      <c r="A329" t="s">
        <v>30</v>
      </c>
      <c r="B329" s="3">
        <v>2022</v>
      </c>
      <c r="C329" t="s">
        <v>36</v>
      </c>
      <c r="D329" s="5">
        <v>150.19999999999999</v>
      </c>
      <c r="E329" s="5">
        <v>208</v>
      </c>
      <c r="F329" s="5">
        <v>167.9</v>
      </c>
      <c r="G329" s="5">
        <v>162</v>
      </c>
      <c r="H329" s="5">
        <v>203.1</v>
      </c>
      <c r="I329" s="5">
        <v>155.9</v>
      </c>
      <c r="J329" s="5">
        <v>155.80000000000001</v>
      </c>
      <c r="K329" s="5">
        <v>164.2</v>
      </c>
      <c r="L329" s="5">
        <v>118.1</v>
      </c>
      <c r="M329" s="5">
        <v>178.7</v>
      </c>
      <c r="N329" s="5">
        <v>171.2</v>
      </c>
      <c r="O329" s="5">
        <v>177.4</v>
      </c>
      <c r="P329" s="5">
        <v>166.6</v>
      </c>
      <c r="Q329" s="5">
        <v>192.3</v>
      </c>
      <c r="R329" s="5">
        <v>175.4</v>
      </c>
      <c r="S329" s="5">
        <v>173.2</v>
      </c>
      <c r="T329" s="5">
        <v>175.1</v>
      </c>
      <c r="U329" s="5" t="s">
        <v>32</v>
      </c>
      <c r="V329" s="5">
        <v>168.9</v>
      </c>
      <c r="W329" s="5">
        <v>166.5</v>
      </c>
      <c r="X329" s="5">
        <v>176</v>
      </c>
      <c r="Y329" s="5">
        <v>162</v>
      </c>
      <c r="Z329" s="5">
        <v>166.6</v>
      </c>
      <c r="AA329" s="5">
        <v>170.6</v>
      </c>
      <c r="AB329" s="5">
        <v>167.4</v>
      </c>
      <c r="AC329" s="5">
        <v>168.3</v>
      </c>
      <c r="AD329" s="5">
        <v>168.7</v>
      </c>
    </row>
    <row r="330" spans="1:30" x14ac:dyDescent="0.3">
      <c r="A330" t="s">
        <v>33</v>
      </c>
      <c r="B330" s="3">
        <v>2022</v>
      </c>
      <c r="C330" t="s">
        <v>36</v>
      </c>
      <c r="D330" s="5">
        <v>153.69999999999999</v>
      </c>
      <c r="E330" s="5">
        <v>215.8</v>
      </c>
      <c r="F330" s="5">
        <v>167.7</v>
      </c>
      <c r="G330" s="5">
        <v>162.6</v>
      </c>
      <c r="H330" s="5">
        <v>180</v>
      </c>
      <c r="I330" s="5">
        <v>159.6</v>
      </c>
      <c r="J330" s="5">
        <v>188.4</v>
      </c>
      <c r="K330" s="5">
        <v>163.4</v>
      </c>
      <c r="L330" s="5">
        <v>120.3</v>
      </c>
      <c r="M330" s="5">
        <v>174.7</v>
      </c>
      <c r="N330" s="5">
        <v>157.1</v>
      </c>
      <c r="O330" s="5">
        <v>181.5</v>
      </c>
      <c r="P330" s="5">
        <v>171.5</v>
      </c>
      <c r="Q330" s="5">
        <v>197.5</v>
      </c>
      <c r="R330" s="5">
        <v>167.1</v>
      </c>
      <c r="S330" s="5">
        <v>152.6</v>
      </c>
      <c r="T330" s="5">
        <v>164.9</v>
      </c>
      <c r="U330" s="5">
        <v>165.3</v>
      </c>
      <c r="V330" s="5">
        <v>164.5</v>
      </c>
      <c r="W330" s="5">
        <v>158.6</v>
      </c>
      <c r="X330" s="5">
        <v>168.2</v>
      </c>
      <c r="Y330" s="5">
        <v>154.19999999999999</v>
      </c>
      <c r="Z330" s="5">
        <v>160.80000000000001</v>
      </c>
      <c r="AA330" s="5">
        <v>162.69999999999999</v>
      </c>
      <c r="AB330" s="5">
        <v>166.8</v>
      </c>
      <c r="AC330" s="5">
        <v>160.6</v>
      </c>
      <c r="AD330" s="5">
        <v>166.5</v>
      </c>
    </row>
    <row r="331" spans="1:30" x14ac:dyDescent="0.3">
      <c r="A331" t="s">
        <v>34</v>
      </c>
      <c r="B331" s="3">
        <v>2022</v>
      </c>
      <c r="C331" t="s">
        <v>36</v>
      </c>
      <c r="D331" s="5">
        <v>151.30000000000001</v>
      </c>
      <c r="E331" s="5">
        <v>210.7</v>
      </c>
      <c r="F331" s="5">
        <v>167.8</v>
      </c>
      <c r="G331" s="5">
        <v>162.19999999999999</v>
      </c>
      <c r="H331" s="5">
        <v>194.6</v>
      </c>
      <c r="I331" s="5">
        <v>157.6</v>
      </c>
      <c r="J331" s="5">
        <v>166.9</v>
      </c>
      <c r="K331" s="5">
        <v>163.9</v>
      </c>
      <c r="L331" s="5">
        <v>118.8</v>
      </c>
      <c r="M331" s="5">
        <v>177.4</v>
      </c>
      <c r="N331" s="5">
        <v>165.3</v>
      </c>
      <c r="O331" s="5">
        <v>179.3</v>
      </c>
      <c r="P331" s="5">
        <v>168.4</v>
      </c>
      <c r="Q331" s="5">
        <v>193.7</v>
      </c>
      <c r="R331" s="5">
        <v>172.1</v>
      </c>
      <c r="S331" s="5">
        <v>164.6</v>
      </c>
      <c r="T331" s="5">
        <v>171.1</v>
      </c>
      <c r="U331" s="5">
        <v>165.3</v>
      </c>
      <c r="V331" s="5">
        <v>167.2</v>
      </c>
      <c r="W331" s="5">
        <v>162.80000000000001</v>
      </c>
      <c r="X331" s="5">
        <v>173</v>
      </c>
      <c r="Y331" s="5">
        <v>157.9</v>
      </c>
      <c r="Z331" s="5">
        <v>163.30000000000001</v>
      </c>
      <c r="AA331" s="5">
        <v>166</v>
      </c>
      <c r="AB331" s="5">
        <v>167.2</v>
      </c>
      <c r="AC331" s="5">
        <v>164.6</v>
      </c>
      <c r="AD331" s="5">
        <v>167.7</v>
      </c>
    </row>
    <row r="332" spans="1:30" x14ac:dyDescent="0.3">
      <c r="A332" t="s">
        <v>30</v>
      </c>
      <c r="B332" s="3">
        <v>2022</v>
      </c>
      <c r="C332" t="s">
        <v>37</v>
      </c>
      <c r="D332" s="5">
        <v>151.80000000000001</v>
      </c>
      <c r="E332" s="5">
        <v>209.7</v>
      </c>
      <c r="F332" s="5">
        <v>164.5</v>
      </c>
      <c r="G332" s="5">
        <v>163.80000000000001</v>
      </c>
      <c r="H332" s="5">
        <v>207.4</v>
      </c>
      <c r="I332" s="5">
        <v>169.7</v>
      </c>
      <c r="J332" s="5">
        <v>153.6</v>
      </c>
      <c r="K332" s="5">
        <v>165.1</v>
      </c>
      <c r="L332" s="5">
        <v>118.2</v>
      </c>
      <c r="M332" s="5">
        <v>182.9</v>
      </c>
      <c r="N332" s="5">
        <v>172.4</v>
      </c>
      <c r="O332" s="5">
        <v>178.9</v>
      </c>
      <c r="P332" s="5">
        <v>168.6</v>
      </c>
      <c r="Q332" s="5">
        <v>192.8</v>
      </c>
      <c r="R332" s="5">
        <v>177.5</v>
      </c>
      <c r="S332" s="5">
        <v>175.1</v>
      </c>
      <c r="T332" s="5">
        <v>177.1</v>
      </c>
      <c r="U332" s="5" t="s">
        <v>32</v>
      </c>
      <c r="V332" s="5">
        <v>173.3</v>
      </c>
      <c r="W332" s="5">
        <v>167.7</v>
      </c>
      <c r="X332" s="5">
        <v>177</v>
      </c>
      <c r="Y332" s="5">
        <v>166.2</v>
      </c>
      <c r="Z332" s="5">
        <v>167.2</v>
      </c>
      <c r="AA332" s="5">
        <v>170.9</v>
      </c>
      <c r="AB332" s="5">
        <v>169</v>
      </c>
      <c r="AC332" s="5">
        <v>170.2</v>
      </c>
      <c r="AD332" s="5">
        <v>170.8</v>
      </c>
    </row>
    <row r="333" spans="1:30" x14ac:dyDescent="0.3">
      <c r="A333" t="s">
        <v>33</v>
      </c>
      <c r="B333" s="3">
        <v>2022</v>
      </c>
      <c r="C333" t="s">
        <v>37</v>
      </c>
      <c r="D333" s="5">
        <v>155.4</v>
      </c>
      <c r="E333" s="5">
        <v>215.8</v>
      </c>
      <c r="F333" s="5">
        <v>164.6</v>
      </c>
      <c r="G333" s="5">
        <v>164.2</v>
      </c>
      <c r="H333" s="5">
        <v>186</v>
      </c>
      <c r="I333" s="5">
        <v>175.9</v>
      </c>
      <c r="J333" s="5">
        <v>190.7</v>
      </c>
      <c r="K333" s="5">
        <v>164</v>
      </c>
      <c r="L333" s="5">
        <v>120.5</v>
      </c>
      <c r="M333" s="5">
        <v>178</v>
      </c>
      <c r="N333" s="5">
        <v>157.5</v>
      </c>
      <c r="O333" s="5">
        <v>183.3</v>
      </c>
      <c r="P333" s="5">
        <v>174.5</v>
      </c>
      <c r="Q333" s="5">
        <v>197.1</v>
      </c>
      <c r="R333" s="5">
        <v>168.4</v>
      </c>
      <c r="S333" s="5">
        <v>154.5</v>
      </c>
      <c r="T333" s="5">
        <v>166.3</v>
      </c>
      <c r="U333" s="5">
        <v>167</v>
      </c>
      <c r="V333" s="5">
        <v>170.5</v>
      </c>
      <c r="W333" s="5">
        <v>159.80000000000001</v>
      </c>
      <c r="X333" s="5">
        <v>169</v>
      </c>
      <c r="Y333" s="5">
        <v>159.30000000000001</v>
      </c>
      <c r="Z333" s="5">
        <v>162.19999999999999</v>
      </c>
      <c r="AA333" s="5">
        <v>164</v>
      </c>
      <c r="AB333" s="5">
        <v>168.4</v>
      </c>
      <c r="AC333" s="5">
        <v>163.1</v>
      </c>
      <c r="AD333" s="5">
        <v>169.2</v>
      </c>
    </row>
    <row r="334" spans="1:30" x14ac:dyDescent="0.3">
      <c r="A334" t="s">
        <v>34</v>
      </c>
      <c r="B334" s="3">
        <v>2022</v>
      </c>
      <c r="C334" t="s">
        <v>37</v>
      </c>
      <c r="D334" s="5">
        <v>152.9</v>
      </c>
      <c r="E334" s="5">
        <v>211.8</v>
      </c>
      <c r="F334" s="5">
        <v>164.5</v>
      </c>
      <c r="G334" s="5">
        <v>163.9</v>
      </c>
      <c r="H334" s="5">
        <v>199.5</v>
      </c>
      <c r="I334" s="5">
        <v>172.6</v>
      </c>
      <c r="J334" s="5">
        <v>166.2</v>
      </c>
      <c r="K334" s="5">
        <v>164.7</v>
      </c>
      <c r="L334" s="5">
        <v>119</v>
      </c>
      <c r="M334" s="5">
        <v>181.3</v>
      </c>
      <c r="N334" s="5">
        <v>166.2</v>
      </c>
      <c r="O334" s="5">
        <v>180.9</v>
      </c>
      <c r="P334" s="5">
        <v>170.8</v>
      </c>
      <c r="Q334" s="5">
        <v>193.9</v>
      </c>
      <c r="R334" s="5">
        <v>173.9</v>
      </c>
      <c r="S334" s="5">
        <v>166.5</v>
      </c>
      <c r="T334" s="5">
        <v>172.8</v>
      </c>
      <c r="U334" s="5">
        <v>167</v>
      </c>
      <c r="V334" s="5">
        <v>172.2</v>
      </c>
      <c r="W334" s="5">
        <v>164</v>
      </c>
      <c r="X334" s="5">
        <v>174</v>
      </c>
      <c r="Y334" s="5">
        <v>162.6</v>
      </c>
      <c r="Z334" s="5">
        <v>164.4</v>
      </c>
      <c r="AA334" s="5">
        <v>166.9</v>
      </c>
      <c r="AB334" s="5">
        <v>168.8</v>
      </c>
      <c r="AC334" s="5">
        <v>166.8</v>
      </c>
      <c r="AD334" s="5">
        <v>170.1</v>
      </c>
    </row>
    <row r="335" spans="1:30" x14ac:dyDescent="0.3">
      <c r="A335" t="s">
        <v>30</v>
      </c>
      <c r="B335" s="3">
        <v>2022</v>
      </c>
      <c r="C335" t="s">
        <v>38</v>
      </c>
      <c r="D335" s="5">
        <v>152.9</v>
      </c>
      <c r="E335" s="5">
        <v>214.7</v>
      </c>
      <c r="F335" s="5">
        <v>161.4</v>
      </c>
      <c r="G335" s="5">
        <v>164.6</v>
      </c>
      <c r="H335" s="5">
        <v>209.9</v>
      </c>
      <c r="I335" s="5">
        <v>168</v>
      </c>
      <c r="J335" s="5">
        <v>160.4</v>
      </c>
      <c r="K335" s="5">
        <v>165</v>
      </c>
      <c r="L335" s="5">
        <v>118.9</v>
      </c>
      <c r="M335" s="5">
        <v>186.6</v>
      </c>
      <c r="N335" s="5">
        <v>173.2</v>
      </c>
      <c r="O335" s="5">
        <v>180.4</v>
      </c>
      <c r="P335" s="5">
        <v>170.8</v>
      </c>
      <c r="Q335" s="5">
        <v>192.9</v>
      </c>
      <c r="R335" s="5">
        <v>179.3</v>
      </c>
      <c r="S335" s="5">
        <v>177.2</v>
      </c>
      <c r="T335" s="5">
        <v>179</v>
      </c>
      <c r="U335" s="5" t="s">
        <v>32</v>
      </c>
      <c r="V335" s="5">
        <v>175.3</v>
      </c>
      <c r="W335" s="5">
        <v>168.9</v>
      </c>
      <c r="X335" s="5">
        <v>177.7</v>
      </c>
      <c r="Y335" s="5">
        <v>167.1</v>
      </c>
      <c r="Z335" s="5">
        <v>167.6</v>
      </c>
      <c r="AA335" s="5">
        <v>171.8</v>
      </c>
      <c r="AB335" s="5">
        <v>168.5</v>
      </c>
      <c r="AC335" s="5">
        <v>170.9</v>
      </c>
      <c r="AD335" s="5">
        <v>172.5</v>
      </c>
    </row>
    <row r="336" spans="1:30" x14ac:dyDescent="0.3">
      <c r="A336" t="s">
        <v>33</v>
      </c>
      <c r="B336" s="3">
        <v>2022</v>
      </c>
      <c r="C336" t="s">
        <v>38</v>
      </c>
      <c r="D336" s="5">
        <v>156.69999999999999</v>
      </c>
      <c r="E336" s="5">
        <v>221.2</v>
      </c>
      <c r="F336" s="5">
        <v>164.1</v>
      </c>
      <c r="G336" s="5">
        <v>165.4</v>
      </c>
      <c r="H336" s="5">
        <v>189.5</v>
      </c>
      <c r="I336" s="5">
        <v>174.5</v>
      </c>
      <c r="J336" s="5">
        <v>203.2</v>
      </c>
      <c r="K336" s="5">
        <v>164.1</v>
      </c>
      <c r="L336" s="5">
        <v>121.2</v>
      </c>
      <c r="M336" s="5">
        <v>181.4</v>
      </c>
      <c r="N336" s="5">
        <v>158.5</v>
      </c>
      <c r="O336" s="5">
        <v>184.9</v>
      </c>
      <c r="P336" s="5">
        <v>177.5</v>
      </c>
      <c r="Q336" s="5">
        <v>197.5</v>
      </c>
      <c r="R336" s="5">
        <v>170</v>
      </c>
      <c r="S336" s="5">
        <v>155.9</v>
      </c>
      <c r="T336" s="5">
        <v>167.8</v>
      </c>
      <c r="U336" s="5">
        <v>167.5</v>
      </c>
      <c r="V336" s="5">
        <v>173.5</v>
      </c>
      <c r="W336" s="5">
        <v>161.1</v>
      </c>
      <c r="X336" s="5">
        <v>170.1</v>
      </c>
      <c r="Y336" s="5">
        <v>159.4</v>
      </c>
      <c r="Z336" s="5">
        <v>163.19999999999999</v>
      </c>
      <c r="AA336" s="5">
        <v>165.2</v>
      </c>
      <c r="AB336" s="5">
        <v>168.2</v>
      </c>
      <c r="AC336" s="5">
        <v>163.80000000000001</v>
      </c>
      <c r="AD336" s="5">
        <v>170.8</v>
      </c>
    </row>
    <row r="337" spans="1:30" x14ac:dyDescent="0.3">
      <c r="A337" t="s">
        <v>34</v>
      </c>
      <c r="B337" s="3">
        <v>2022</v>
      </c>
      <c r="C337" t="s">
        <v>38</v>
      </c>
      <c r="D337" s="5">
        <v>154.1</v>
      </c>
      <c r="E337" s="5">
        <v>217</v>
      </c>
      <c r="F337" s="5">
        <v>162.4</v>
      </c>
      <c r="G337" s="5">
        <v>164.9</v>
      </c>
      <c r="H337" s="5">
        <v>202.4</v>
      </c>
      <c r="I337" s="5">
        <v>171</v>
      </c>
      <c r="J337" s="5">
        <v>174.9</v>
      </c>
      <c r="K337" s="5">
        <v>164.7</v>
      </c>
      <c r="L337" s="5">
        <v>119.7</v>
      </c>
      <c r="M337" s="5">
        <v>184.9</v>
      </c>
      <c r="N337" s="5">
        <v>167.1</v>
      </c>
      <c r="O337" s="5">
        <v>182.5</v>
      </c>
      <c r="P337" s="5">
        <v>173.3</v>
      </c>
      <c r="Q337" s="5">
        <v>194.1</v>
      </c>
      <c r="R337" s="5">
        <v>175.6</v>
      </c>
      <c r="S337" s="5">
        <v>168.4</v>
      </c>
      <c r="T337" s="5">
        <v>174.6</v>
      </c>
      <c r="U337" s="5">
        <v>167.5</v>
      </c>
      <c r="V337" s="5">
        <v>174.6</v>
      </c>
      <c r="W337" s="5">
        <v>165.2</v>
      </c>
      <c r="X337" s="5">
        <v>174.8</v>
      </c>
      <c r="Y337" s="5">
        <v>163</v>
      </c>
      <c r="Z337" s="5">
        <v>165.1</v>
      </c>
      <c r="AA337" s="5">
        <v>167.9</v>
      </c>
      <c r="AB337" s="5">
        <v>168.4</v>
      </c>
      <c r="AC337" s="5">
        <v>167.5</v>
      </c>
      <c r="AD337" s="5">
        <v>171.7</v>
      </c>
    </row>
    <row r="338" spans="1:30" x14ac:dyDescent="0.3">
      <c r="A338" t="s">
        <v>30</v>
      </c>
      <c r="B338" s="3">
        <v>2022</v>
      </c>
      <c r="C338" t="s">
        <v>39</v>
      </c>
      <c r="D338" s="5">
        <v>153.80000000000001</v>
      </c>
      <c r="E338" s="5">
        <v>217.2</v>
      </c>
      <c r="F338" s="5">
        <v>169.6</v>
      </c>
      <c r="G338" s="5">
        <v>165.4</v>
      </c>
      <c r="H338" s="5">
        <v>208.1</v>
      </c>
      <c r="I338" s="5">
        <v>165.8</v>
      </c>
      <c r="J338" s="5">
        <v>167.3</v>
      </c>
      <c r="K338" s="5">
        <v>164.6</v>
      </c>
      <c r="L338" s="5">
        <v>119.1</v>
      </c>
      <c r="M338" s="5">
        <v>188.9</v>
      </c>
      <c r="N338" s="5">
        <v>174.2</v>
      </c>
      <c r="O338" s="5">
        <v>181.9</v>
      </c>
      <c r="P338" s="5">
        <v>172.4</v>
      </c>
      <c r="Q338" s="5">
        <v>192.9</v>
      </c>
      <c r="R338" s="5">
        <v>180.7</v>
      </c>
      <c r="S338" s="5">
        <v>178.7</v>
      </c>
      <c r="T338" s="5">
        <v>180.4</v>
      </c>
      <c r="U338" s="5" t="s">
        <v>32</v>
      </c>
      <c r="V338" s="5">
        <v>176.7</v>
      </c>
      <c r="W338" s="5">
        <v>170.3</v>
      </c>
      <c r="X338" s="5">
        <v>178.2</v>
      </c>
      <c r="Y338" s="5">
        <v>165.5</v>
      </c>
      <c r="Z338" s="5">
        <v>168</v>
      </c>
      <c r="AA338" s="5">
        <v>172.6</v>
      </c>
      <c r="AB338" s="5">
        <v>169.5</v>
      </c>
      <c r="AC338" s="5">
        <v>171</v>
      </c>
      <c r="AD338" s="5">
        <v>173.6</v>
      </c>
    </row>
    <row r="339" spans="1:30" x14ac:dyDescent="0.3">
      <c r="A339" t="s">
        <v>33</v>
      </c>
      <c r="B339" s="3">
        <v>2022</v>
      </c>
      <c r="C339" t="s">
        <v>39</v>
      </c>
      <c r="D339" s="5">
        <v>157.5</v>
      </c>
      <c r="E339" s="5">
        <v>223.4</v>
      </c>
      <c r="F339" s="5">
        <v>172.8</v>
      </c>
      <c r="G339" s="5">
        <v>166.4</v>
      </c>
      <c r="H339" s="5">
        <v>188.6</v>
      </c>
      <c r="I339" s="5">
        <v>174.1</v>
      </c>
      <c r="J339" s="5">
        <v>211.5</v>
      </c>
      <c r="K339" s="5">
        <v>163.6</v>
      </c>
      <c r="L339" s="5">
        <v>121.4</v>
      </c>
      <c r="M339" s="5">
        <v>183.5</v>
      </c>
      <c r="N339" s="5">
        <v>159.1</v>
      </c>
      <c r="O339" s="5">
        <v>186.3</v>
      </c>
      <c r="P339" s="5">
        <v>179.3</v>
      </c>
      <c r="Q339" s="5">
        <v>198.3</v>
      </c>
      <c r="R339" s="5">
        <v>171.6</v>
      </c>
      <c r="S339" s="5">
        <v>157.4</v>
      </c>
      <c r="T339" s="5">
        <v>169.4</v>
      </c>
      <c r="U339" s="5">
        <v>166.8</v>
      </c>
      <c r="V339" s="5">
        <v>174.9</v>
      </c>
      <c r="W339" s="5">
        <v>162.1</v>
      </c>
      <c r="X339" s="5">
        <v>170.9</v>
      </c>
      <c r="Y339" s="5">
        <v>157.19999999999999</v>
      </c>
      <c r="Z339" s="5">
        <v>164.1</v>
      </c>
      <c r="AA339" s="5">
        <v>166.5</v>
      </c>
      <c r="AB339" s="5">
        <v>169.2</v>
      </c>
      <c r="AC339" s="5">
        <v>163.80000000000001</v>
      </c>
      <c r="AD339" s="5">
        <v>171.4</v>
      </c>
    </row>
    <row r="340" spans="1:30" x14ac:dyDescent="0.3">
      <c r="A340" t="s">
        <v>34</v>
      </c>
      <c r="B340" s="3">
        <v>2022</v>
      </c>
      <c r="C340" t="s">
        <v>39</v>
      </c>
      <c r="D340" s="5">
        <v>155</v>
      </c>
      <c r="E340" s="5">
        <v>219.4</v>
      </c>
      <c r="F340" s="5">
        <v>170.8</v>
      </c>
      <c r="G340" s="5">
        <v>165.8</v>
      </c>
      <c r="H340" s="5">
        <v>200.9</v>
      </c>
      <c r="I340" s="5">
        <v>169.7</v>
      </c>
      <c r="J340" s="5">
        <v>182.3</v>
      </c>
      <c r="K340" s="5">
        <v>164.3</v>
      </c>
      <c r="L340" s="5">
        <v>119.9</v>
      </c>
      <c r="M340" s="5">
        <v>187.1</v>
      </c>
      <c r="N340" s="5">
        <v>167.9</v>
      </c>
      <c r="O340" s="5">
        <v>183.9</v>
      </c>
      <c r="P340" s="5">
        <v>174.9</v>
      </c>
      <c r="Q340" s="5">
        <v>194.3</v>
      </c>
      <c r="R340" s="5">
        <v>177.1</v>
      </c>
      <c r="S340" s="5">
        <v>169.9</v>
      </c>
      <c r="T340" s="5">
        <v>176</v>
      </c>
      <c r="U340" s="5">
        <v>166.8</v>
      </c>
      <c r="V340" s="5">
        <v>176</v>
      </c>
      <c r="W340" s="5">
        <v>166.4</v>
      </c>
      <c r="X340" s="5">
        <v>175.4</v>
      </c>
      <c r="Y340" s="5">
        <v>161.1</v>
      </c>
      <c r="Z340" s="5">
        <v>165.8</v>
      </c>
      <c r="AA340" s="5">
        <v>169</v>
      </c>
      <c r="AB340" s="5">
        <v>169.4</v>
      </c>
      <c r="AC340" s="5">
        <v>167.5</v>
      </c>
      <c r="AD340" s="5">
        <v>172.6</v>
      </c>
    </row>
    <row r="341" spans="1:30" x14ac:dyDescent="0.3">
      <c r="A341" t="s">
        <v>30</v>
      </c>
      <c r="B341" s="3">
        <v>2022</v>
      </c>
      <c r="C341" t="s">
        <v>40</v>
      </c>
      <c r="D341" s="5">
        <v>155.19999999999999</v>
      </c>
      <c r="E341" s="5">
        <v>210.8</v>
      </c>
      <c r="F341" s="5">
        <v>174.3</v>
      </c>
      <c r="G341" s="5">
        <v>166.3</v>
      </c>
      <c r="H341" s="5">
        <v>202.2</v>
      </c>
      <c r="I341" s="5">
        <v>169.6</v>
      </c>
      <c r="J341" s="5">
        <v>168.6</v>
      </c>
      <c r="K341" s="5">
        <v>164.4</v>
      </c>
      <c r="L341" s="5">
        <v>119.2</v>
      </c>
      <c r="M341" s="5">
        <v>191.8</v>
      </c>
      <c r="N341" s="5">
        <v>174.5</v>
      </c>
      <c r="O341" s="5">
        <v>183.1</v>
      </c>
      <c r="P341" s="5">
        <v>172.5</v>
      </c>
      <c r="Q341" s="5">
        <v>193.2</v>
      </c>
      <c r="R341" s="5">
        <v>182</v>
      </c>
      <c r="S341" s="5">
        <v>180.3</v>
      </c>
      <c r="T341" s="5">
        <v>181.7</v>
      </c>
      <c r="U341" s="5" t="s">
        <v>32</v>
      </c>
      <c r="V341" s="5">
        <v>179.6</v>
      </c>
      <c r="W341" s="5">
        <v>171.3</v>
      </c>
      <c r="X341" s="5">
        <v>178.8</v>
      </c>
      <c r="Y341" s="5">
        <v>166.3</v>
      </c>
      <c r="Z341" s="5">
        <v>168.6</v>
      </c>
      <c r="AA341" s="5">
        <v>174.7</v>
      </c>
      <c r="AB341" s="5">
        <v>169.7</v>
      </c>
      <c r="AC341" s="5">
        <v>171.8</v>
      </c>
      <c r="AD341" s="5">
        <v>174.3</v>
      </c>
    </row>
    <row r="342" spans="1:30" x14ac:dyDescent="0.3">
      <c r="A342" t="s">
        <v>33</v>
      </c>
      <c r="B342" s="3">
        <v>2022</v>
      </c>
      <c r="C342" t="s">
        <v>40</v>
      </c>
      <c r="D342" s="5">
        <v>159.30000000000001</v>
      </c>
      <c r="E342" s="5">
        <v>217.1</v>
      </c>
      <c r="F342" s="5">
        <v>176.6</v>
      </c>
      <c r="G342" s="5">
        <v>167.1</v>
      </c>
      <c r="H342" s="5">
        <v>184.8</v>
      </c>
      <c r="I342" s="5">
        <v>179.5</v>
      </c>
      <c r="J342" s="5">
        <v>208.5</v>
      </c>
      <c r="K342" s="5">
        <v>164</v>
      </c>
      <c r="L342" s="5">
        <v>121.5</v>
      </c>
      <c r="M342" s="5">
        <v>186.3</v>
      </c>
      <c r="N342" s="5">
        <v>159.80000000000001</v>
      </c>
      <c r="O342" s="5">
        <v>187.7</v>
      </c>
      <c r="P342" s="5">
        <v>179.4</v>
      </c>
      <c r="Q342" s="5">
        <v>198.6</v>
      </c>
      <c r="R342" s="5">
        <v>172.7</v>
      </c>
      <c r="S342" s="5">
        <v>158.69999999999999</v>
      </c>
      <c r="T342" s="5">
        <v>170.6</v>
      </c>
      <c r="U342" s="5">
        <v>167.8</v>
      </c>
      <c r="V342" s="5">
        <v>179.5</v>
      </c>
      <c r="W342" s="5">
        <v>163.1</v>
      </c>
      <c r="X342" s="5">
        <v>171.7</v>
      </c>
      <c r="Y342" s="5">
        <v>157.4</v>
      </c>
      <c r="Z342" s="5">
        <v>164.6</v>
      </c>
      <c r="AA342" s="5">
        <v>169.1</v>
      </c>
      <c r="AB342" s="5">
        <v>169.8</v>
      </c>
      <c r="AC342" s="5">
        <v>164.7</v>
      </c>
      <c r="AD342" s="5">
        <v>172.3</v>
      </c>
    </row>
    <row r="343" spans="1:30" x14ac:dyDescent="0.3">
      <c r="A343" t="s">
        <v>34</v>
      </c>
      <c r="B343" s="3">
        <v>2022</v>
      </c>
      <c r="C343" t="s">
        <v>40</v>
      </c>
      <c r="D343" s="5">
        <v>156.5</v>
      </c>
      <c r="E343" s="5">
        <v>213</v>
      </c>
      <c r="F343" s="5">
        <v>175.2</v>
      </c>
      <c r="G343" s="5">
        <v>166.6</v>
      </c>
      <c r="H343" s="5">
        <v>195.8</v>
      </c>
      <c r="I343" s="5">
        <v>174.2</v>
      </c>
      <c r="J343" s="5">
        <v>182.1</v>
      </c>
      <c r="K343" s="5">
        <v>164.3</v>
      </c>
      <c r="L343" s="5">
        <v>120</v>
      </c>
      <c r="M343" s="5">
        <v>190</v>
      </c>
      <c r="N343" s="5">
        <v>168.4</v>
      </c>
      <c r="O343" s="5">
        <v>185.2</v>
      </c>
      <c r="P343" s="5">
        <v>175</v>
      </c>
      <c r="Q343" s="5">
        <v>194.6</v>
      </c>
      <c r="R343" s="5">
        <v>178.3</v>
      </c>
      <c r="S343" s="5">
        <v>171.3</v>
      </c>
      <c r="T343" s="5">
        <v>177.3</v>
      </c>
      <c r="U343" s="5">
        <v>167.8</v>
      </c>
      <c r="V343" s="5">
        <v>179.6</v>
      </c>
      <c r="W343" s="5">
        <v>167.4</v>
      </c>
      <c r="X343" s="5">
        <v>176.1</v>
      </c>
      <c r="Y343" s="5">
        <v>161.6</v>
      </c>
      <c r="Z343" s="5">
        <v>166.3</v>
      </c>
      <c r="AA343" s="5">
        <v>171.4</v>
      </c>
      <c r="AB343" s="5">
        <v>169.7</v>
      </c>
      <c r="AC343" s="5">
        <v>168.4</v>
      </c>
      <c r="AD343" s="5">
        <v>173.4</v>
      </c>
    </row>
    <row r="344" spans="1:30" x14ac:dyDescent="0.3">
      <c r="A344" t="s">
        <v>30</v>
      </c>
      <c r="B344" s="3">
        <v>2022</v>
      </c>
      <c r="C344" t="s">
        <v>41</v>
      </c>
      <c r="D344" s="5">
        <v>159.5</v>
      </c>
      <c r="E344" s="5">
        <v>204.1</v>
      </c>
      <c r="F344" s="5">
        <v>168.3</v>
      </c>
      <c r="G344" s="5">
        <v>167.9</v>
      </c>
      <c r="H344" s="5">
        <v>198.1</v>
      </c>
      <c r="I344" s="5">
        <v>169.2</v>
      </c>
      <c r="J344" s="5">
        <v>173.1</v>
      </c>
      <c r="K344" s="5">
        <v>167.1</v>
      </c>
      <c r="L344" s="5">
        <v>120.2</v>
      </c>
      <c r="M344" s="5">
        <v>195.6</v>
      </c>
      <c r="N344" s="5">
        <v>174.8</v>
      </c>
      <c r="O344" s="5">
        <v>184</v>
      </c>
      <c r="P344" s="5">
        <v>173.9</v>
      </c>
      <c r="Q344" s="5">
        <v>193.7</v>
      </c>
      <c r="R344" s="5">
        <v>183.2</v>
      </c>
      <c r="S344" s="5">
        <v>181.7</v>
      </c>
      <c r="T344" s="5">
        <v>183</v>
      </c>
      <c r="U344" s="5" t="s">
        <v>32</v>
      </c>
      <c r="V344" s="5">
        <v>179.1</v>
      </c>
      <c r="W344" s="5">
        <v>172.3</v>
      </c>
      <c r="X344" s="5">
        <v>179.4</v>
      </c>
      <c r="Y344" s="5">
        <v>166.6</v>
      </c>
      <c r="Z344" s="5">
        <v>169.3</v>
      </c>
      <c r="AA344" s="5">
        <v>175.7</v>
      </c>
      <c r="AB344" s="5">
        <v>171.1</v>
      </c>
      <c r="AC344" s="5">
        <v>172.6</v>
      </c>
      <c r="AD344" s="5">
        <v>175.3</v>
      </c>
    </row>
    <row r="345" spans="1:30" x14ac:dyDescent="0.3">
      <c r="A345" t="s">
        <v>33</v>
      </c>
      <c r="B345" s="3">
        <v>2022</v>
      </c>
      <c r="C345" t="s">
        <v>41</v>
      </c>
      <c r="D345" s="5">
        <v>162.1</v>
      </c>
      <c r="E345" s="5">
        <v>210.9</v>
      </c>
      <c r="F345" s="5">
        <v>170.6</v>
      </c>
      <c r="G345" s="5">
        <v>168.4</v>
      </c>
      <c r="H345" s="5">
        <v>182.5</v>
      </c>
      <c r="I345" s="5">
        <v>177.1</v>
      </c>
      <c r="J345" s="5">
        <v>213.1</v>
      </c>
      <c r="K345" s="5">
        <v>167.3</v>
      </c>
      <c r="L345" s="5">
        <v>122.2</v>
      </c>
      <c r="M345" s="5">
        <v>189.7</v>
      </c>
      <c r="N345" s="5">
        <v>160.5</v>
      </c>
      <c r="O345" s="5">
        <v>188.9</v>
      </c>
      <c r="P345" s="5">
        <v>180.4</v>
      </c>
      <c r="Q345" s="5">
        <v>198.7</v>
      </c>
      <c r="R345" s="5">
        <v>173.7</v>
      </c>
      <c r="S345" s="5">
        <v>160</v>
      </c>
      <c r="T345" s="5">
        <v>171.6</v>
      </c>
      <c r="U345" s="5">
        <v>169</v>
      </c>
      <c r="V345" s="5">
        <v>178.4</v>
      </c>
      <c r="W345" s="5">
        <v>164.2</v>
      </c>
      <c r="X345" s="5">
        <v>172.6</v>
      </c>
      <c r="Y345" s="5">
        <v>157.69999999999999</v>
      </c>
      <c r="Z345" s="5">
        <v>165.1</v>
      </c>
      <c r="AA345" s="5">
        <v>169.9</v>
      </c>
      <c r="AB345" s="5">
        <v>171.4</v>
      </c>
      <c r="AC345" s="5">
        <v>165.4</v>
      </c>
      <c r="AD345" s="5">
        <v>173.1</v>
      </c>
    </row>
    <row r="346" spans="1:30" x14ac:dyDescent="0.3">
      <c r="A346" t="s">
        <v>34</v>
      </c>
      <c r="B346" s="3">
        <v>2022</v>
      </c>
      <c r="C346" t="s">
        <v>41</v>
      </c>
      <c r="D346" s="5">
        <v>160.30000000000001</v>
      </c>
      <c r="E346" s="5">
        <v>206.5</v>
      </c>
      <c r="F346" s="5">
        <v>169.2</v>
      </c>
      <c r="G346" s="5">
        <v>168.1</v>
      </c>
      <c r="H346" s="5">
        <v>192.4</v>
      </c>
      <c r="I346" s="5">
        <v>172.9</v>
      </c>
      <c r="J346" s="5">
        <v>186.7</v>
      </c>
      <c r="K346" s="5">
        <v>167.2</v>
      </c>
      <c r="L346" s="5">
        <v>120.9</v>
      </c>
      <c r="M346" s="5">
        <v>193.6</v>
      </c>
      <c r="N346" s="5">
        <v>168.8</v>
      </c>
      <c r="O346" s="5">
        <v>186.3</v>
      </c>
      <c r="P346" s="5">
        <v>176.3</v>
      </c>
      <c r="Q346" s="5">
        <v>195</v>
      </c>
      <c r="R346" s="5">
        <v>179.5</v>
      </c>
      <c r="S346" s="5">
        <v>172.7</v>
      </c>
      <c r="T346" s="5">
        <v>178.5</v>
      </c>
      <c r="U346" s="5">
        <v>169</v>
      </c>
      <c r="V346" s="5">
        <v>178.8</v>
      </c>
      <c r="W346" s="5">
        <v>168.5</v>
      </c>
      <c r="X346" s="5">
        <v>176.8</v>
      </c>
      <c r="Y346" s="5">
        <v>161.9</v>
      </c>
      <c r="Z346" s="5">
        <v>166.9</v>
      </c>
      <c r="AA346" s="5">
        <v>172.3</v>
      </c>
      <c r="AB346" s="5">
        <v>171.2</v>
      </c>
      <c r="AC346" s="5">
        <v>169.1</v>
      </c>
      <c r="AD346" s="5">
        <v>174.3</v>
      </c>
    </row>
    <row r="347" spans="1:30" x14ac:dyDescent="0.3">
      <c r="A347" t="s">
        <v>30</v>
      </c>
      <c r="B347" s="3">
        <v>2022</v>
      </c>
      <c r="C347" t="s">
        <v>42</v>
      </c>
      <c r="D347" s="5">
        <v>162.9</v>
      </c>
      <c r="E347" s="5">
        <v>206.7</v>
      </c>
      <c r="F347" s="5">
        <v>169</v>
      </c>
      <c r="G347" s="5">
        <v>169.5</v>
      </c>
      <c r="H347" s="5">
        <v>194.1</v>
      </c>
      <c r="I347" s="5">
        <v>164.1</v>
      </c>
      <c r="J347" s="5">
        <v>176.9</v>
      </c>
      <c r="K347" s="5">
        <v>169</v>
      </c>
      <c r="L347" s="5">
        <v>120.8</v>
      </c>
      <c r="M347" s="5">
        <v>199.1</v>
      </c>
      <c r="N347" s="5">
        <v>175.4</v>
      </c>
      <c r="O347" s="5">
        <v>184.8</v>
      </c>
      <c r="P347" s="5">
        <v>175.5</v>
      </c>
      <c r="Q347" s="5">
        <v>194.5</v>
      </c>
      <c r="R347" s="5">
        <v>184.7</v>
      </c>
      <c r="S347" s="5">
        <v>183.3</v>
      </c>
      <c r="T347" s="5">
        <v>184.5</v>
      </c>
      <c r="U347" s="5" t="s">
        <v>32</v>
      </c>
      <c r="V347" s="5">
        <v>179.7</v>
      </c>
      <c r="W347" s="5">
        <v>173.6</v>
      </c>
      <c r="X347" s="5">
        <v>180.2</v>
      </c>
      <c r="Y347" s="5">
        <v>166.9</v>
      </c>
      <c r="Z347" s="5">
        <v>170</v>
      </c>
      <c r="AA347" s="5">
        <v>176.2</v>
      </c>
      <c r="AB347" s="5">
        <v>170.8</v>
      </c>
      <c r="AC347" s="5">
        <v>173.1</v>
      </c>
      <c r="AD347" s="5">
        <v>176.4</v>
      </c>
    </row>
    <row r="348" spans="1:30" x14ac:dyDescent="0.3">
      <c r="A348" t="s">
        <v>33</v>
      </c>
      <c r="B348" s="3">
        <v>2022</v>
      </c>
      <c r="C348" t="s">
        <v>42</v>
      </c>
      <c r="D348" s="5">
        <v>164.9</v>
      </c>
      <c r="E348" s="5">
        <v>213.7</v>
      </c>
      <c r="F348" s="5">
        <v>170.9</v>
      </c>
      <c r="G348" s="5">
        <v>170.1</v>
      </c>
      <c r="H348" s="5">
        <v>179.3</v>
      </c>
      <c r="I348" s="5">
        <v>167.5</v>
      </c>
      <c r="J348" s="5">
        <v>220.8</v>
      </c>
      <c r="K348" s="5">
        <v>169.2</v>
      </c>
      <c r="L348" s="5">
        <v>123.1</v>
      </c>
      <c r="M348" s="5">
        <v>193.6</v>
      </c>
      <c r="N348" s="5">
        <v>161.1</v>
      </c>
      <c r="O348" s="5">
        <v>190.4</v>
      </c>
      <c r="P348" s="5">
        <v>181.8</v>
      </c>
      <c r="Q348" s="5">
        <v>199.7</v>
      </c>
      <c r="R348" s="5">
        <v>175</v>
      </c>
      <c r="S348" s="5">
        <v>161.69999999999999</v>
      </c>
      <c r="T348" s="5">
        <v>173</v>
      </c>
      <c r="U348" s="5">
        <v>169.5</v>
      </c>
      <c r="V348" s="5">
        <v>179.2</v>
      </c>
      <c r="W348" s="5">
        <v>165</v>
      </c>
      <c r="X348" s="5">
        <v>173.8</v>
      </c>
      <c r="Y348" s="5">
        <v>158.19999999999999</v>
      </c>
      <c r="Z348" s="5">
        <v>165.8</v>
      </c>
      <c r="AA348" s="5">
        <v>170.9</v>
      </c>
      <c r="AB348" s="5">
        <v>171.1</v>
      </c>
      <c r="AC348" s="5">
        <v>166.1</v>
      </c>
      <c r="AD348" s="5">
        <v>174.1</v>
      </c>
    </row>
    <row r="349" spans="1:30" x14ac:dyDescent="0.3">
      <c r="A349" t="s">
        <v>34</v>
      </c>
      <c r="B349" s="3">
        <v>2022</v>
      </c>
      <c r="C349" t="s">
        <v>42</v>
      </c>
      <c r="D349" s="5">
        <v>163.5</v>
      </c>
      <c r="E349" s="5">
        <v>209.2</v>
      </c>
      <c r="F349" s="5">
        <v>169.7</v>
      </c>
      <c r="G349" s="5">
        <v>169.7</v>
      </c>
      <c r="H349" s="5">
        <v>188.7</v>
      </c>
      <c r="I349" s="5">
        <v>165.7</v>
      </c>
      <c r="J349" s="5">
        <v>191.8</v>
      </c>
      <c r="K349" s="5">
        <v>169.1</v>
      </c>
      <c r="L349" s="5">
        <v>121.6</v>
      </c>
      <c r="M349" s="5">
        <v>197.3</v>
      </c>
      <c r="N349" s="5">
        <v>169.4</v>
      </c>
      <c r="O349" s="5">
        <v>187.4</v>
      </c>
      <c r="P349" s="5">
        <v>177.8</v>
      </c>
      <c r="Q349" s="5">
        <v>195.9</v>
      </c>
      <c r="R349" s="5">
        <v>180.9</v>
      </c>
      <c r="S349" s="5">
        <v>174.3</v>
      </c>
      <c r="T349" s="5">
        <v>179.9</v>
      </c>
      <c r="U349" s="5">
        <v>169.5</v>
      </c>
      <c r="V349" s="5">
        <v>179.5</v>
      </c>
      <c r="W349" s="5">
        <v>169.5</v>
      </c>
      <c r="X349" s="5">
        <v>177.8</v>
      </c>
      <c r="Y349" s="5">
        <v>162.30000000000001</v>
      </c>
      <c r="Z349" s="5">
        <v>167.6</v>
      </c>
      <c r="AA349" s="5">
        <v>173.1</v>
      </c>
      <c r="AB349" s="5">
        <v>170.9</v>
      </c>
      <c r="AC349" s="5">
        <v>169.7</v>
      </c>
      <c r="AD349" s="5">
        <v>175.3</v>
      </c>
    </row>
    <row r="350" spans="1:30" x14ac:dyDescent="0.3">
      <c r="A350" t="s">
        <v>30</v>
      </c>
      <c r="B350" s="3">
        <v>2022</v>
      </c>
      <c r="C350" t="s">
        <v>43</v>
      </c>
      <c r="D350" s="5">
        <v>164.7</v>
      </c>
      <c r="E350" s="5">
        <v>208.8</v>
      </c>
      <c r="F350" s="5">
        <v>170.3</v>
      </c>
      <c r="G350" s="5">
        <v>170.9</v>
      </c>
      <c r="H350" s="5">
        <v>191.6</v>
      </c>
      <c r="I350" s="5">
        <v>162.19999999999999</v>
      </c>
      <c r="J350" s="5">
        <v>184.8</v>
      </c>
      <c r="K350" s="5">
        <v>169.7</v>
      </c>
      <c r="L350" s="5">
        <v>121.1</v>
      </c>
      <c r="M350" s="5">
        <v>201.6</v>
      </c>
      <c r="N350" s="5">
        <v>175.8</v>
      </c>
      <c r="O350" s="5">
        <v>185.6</v>
      </c>
      <c r="P350" s="5">
        <v>177.4</v>
      </c>
      <c r="Q350" s="5">
        <v>194.9</v>
      </c>
      <c r="R350" s="5">
        <v>186.1</v>
      </c>
      <c r="S350" s="5">
        <v>184.4</v>
      </c>
      <c r="T350" s="5">
        <v>185.9</v>
      </c>
      <c r="U350" s="5" t="s">
        <v>32</v>
      </c>
      <c r="V350" s="5">
        <v>180.8</v>
      </c>
      <c r="W350" s="5">
        <v>174.4</v>
      </c>
      <c r="X350" s="5">
        <v>181.2</v>
      </c>
      <c r="Y350" s="5">
        <v>167.4</v>
      </c>
      <c r="Z350" s="5">
        <v>170.6</v>
      </c>
      <c r="AA350" s="5">
        <v>176.5</v>
      </c>
      <c r="AB350" s="5">
        <v>172</v>
      </c>
      <c r="AC350" s="5">
        <v>173.9</v>
      </c>
      <c r="AD350" s="5">
        <v>177.9</v>
      </c>
    </row>
    <row r="351" spans="1:30" x14ac:dyDescent="0.3">
      <c r="A351" t="s">
        <v>33</v>
      </c>
      <c r="B351" s="3">
        <v>2022</v>
      </c>
      <c r="C351" t="s">
        <v>43</v>
      </c>
      <c r="D351" s="5">
        <v>166.4</v>
      </c>
      <c r="E351" s="5">
        <v>214.9</v>
      </c>
      <c r="F351" s="5">
        <v>171.9</v>
      </c>
      <c r="G351" s="5">
        <v>171</v>
      </c>
      <c r="H351" s="5">
        <v>177.7</v>
      </c>
      <c r="I351" s="5">
        <v>165.7</v>
      </c>
      <c r="J351" s="5">
        <v>228.6</v>
      </c>
      <c r="K351" s="5">
        <v>169.9</v>
      </c>
      <c r="L351" s="5">
        <v>123.4</v>
      </c>
      <c r="M351" s="5">
        <v>196.4</v>
      </c>
      <c r="N351" s="5">
        <v>161.6</v>
      </c>
      <c r="O351" s="5">
        <v>191.5</v>
      </c>
      <c r="P351" s="5">
        <v>183.3</v>
      </c>
      <c r="Q351" s="5">
        <v>200.1</v>
      </c>
      <c r="R351" s="5">
        <v>175.5</v>
      </c>
      <c r="S351" s="5">
        <v>162.6</v>
      </c>
      <c r="T351" s="5">
        <v>173.6</v>
      </c>
      <c r="U351" s="5">
        <v>171.2</v>
      </c>
      <c r="V351" s="5">
        <v>180</v>
      </c>
      <c r="W351" s="5">
        <v>166</v>
      </c>
      <c r="X351" s="5">
        <v>174.7</v>
      </c>
      <c r="Y351" s="5">
        <v>158.80000000000001</v>
      </c>
      <c r="Z351" s="5">
        <v>166.3</v>
      </c>
      <c r="AA351" s="5">
        <v>171.2</v>
      </c>
      <c r="AB351" s="5">
        <v>172.3</v>
      </c>
      <c r="AC351" s="5">
        <v>166.8</v>
      </c>
      <c r="AD351" s="5">
        <v>175.3</v>
      </c>
    </row>
    <row r="352" spans="1:30" x14ac:dyDescent="0.3">
      <c r="A352" t="s">
        <v>34</v>
      </c>
      <c r="B352" s="3">
        <v>2022</v>
      </c>
      <c r="C352" t="s">
        <v>43</v>
      </c>
      <c r="D352" s="5">
        <v>165.2</v>
      </c>
      <c r="E352" s="5">
        <v>210.9</v>
      </c>
      <c r="F352" s="5">
        <v>170.9</v>
      </c>
      <c r="G352" s="5">
        <v>170.9</v>
      </c>
      <c r="H352" s="5">
        <v>186.5</v>
      </c>
      <c r="I352" s="5">
        <v>163.80000000000001</v>
      </c>
      <c r="J352" s="5">
        <v>199.7</v>
      </c>
      <c r="K352" s="5">
        <v>169.8</v>
      </c>
      <c r="L352" s="5">
        <v>121.9</v>
      </c>
      <c r="M352" s="5">
        <v>199.9</v>
      </c>
      <c r="N352" s="5">
        <v>169.9</v>
      </c>
      <c r="O352" s="5">
        <v>188.3</v>
      </c>
      <c r="P352" s="5">
        <v>179.6</v>
      </c>
      <c r="Q352" s="5">
        <v>196.3</v>
      </c>
      <c r="R352" s="5">
        <v>181.9</v>
      </c>
      <c r="S352" s="5">
        <v>175.3</v>
      </c>
      <c r="T352" s="5">
        <v>181</v>
      </c>
      <c r="U352" s="5">
        <v>171.2</v>
      </c>
      <c r="V352" s="5">
        <v>180.5</v>
      </c>
      <c r="W352" s="5">
        <v>170.4</v>
      </c>
      <c r="X352" s="5">
        <v>178.7</v>
      </c>
      <c r="Y352" s="5">
        <v>162.9</v>
      </c>
      <c r="Z352" s="5">
        <v>168.2</v>
      </c>
      <c r="AA352" s="5">
        <v>173.4</v>
      </c>
      <c r="AB352" s="5">
        <v>172.1</v>
      </c>
      <c r="AC352" s="5">
        <v>170.5</v>
      </c>
      <c r="AD352" s="5">
        <v>176.7</v>
      </c>
    </row>
    <row r="353" spans="1:30" x14ac:dyDescent="0.3">
      <c r="A353" t="s">
        <v>30</v>
      </c>
      <c r="B353" s="3">
        <v>2022</v>
      </c>
      <c r="C353" t="s">
        <v>45</v>
      </c>
      <c r="D353" s="5">
        <v>166.9</v>
      </c>
      <c r="E353" s="5">
        <v>207.2</v>
      </c>
      <c r="F353" s="5">
        <v>180.2</v>
      </c>
      <c r="G353" s="5">
        <v>172.3</v>
      </c>
      <c r="H353" s="5">
        <v>194</v>
      </c>
      <c r="I353" s="5">
        <v>159.1</v>
      </c>
      <c r="J353" s="5">
        <v>171.6</v>
      </c>
      <c r="K353" s="5">
        <v>170.2</v>
      </c>
      <c r="L353" s="5">
        <v>121.5</v>
      </c>
      <c r="M353" s="5">
        <v>204.8</v>
      </c>
      <c r="N353" s="5">
        <v>176.4</v>
      </c>
      <c r="O353" s="5">
        <v>186.9</v>
      </c>
      <c r="P353" s="5">
        <v>176.6</v>
      </c>
      <c r="Q353" s="5">
        <v>195.5</v>
      </c>
      <c r="R353" s="5">
        <v>187.2</v>
      </c>
      <c r="S353" s="5">
        <v>185.2</v>
      </c>
      <c r="T353" s="5">
        <v>186.9</v>
      </c>
      <c r="U353" s="5" t="s">
        <v>32</v>
      </c>
      <c r="V353" s="5">
        <v>181.9</v>
      </c>
      <c r="W353" s="5">
        <v>175.5</v>
      </c>
      <c r="X353" s="5">
        <v>182.3</v>
      </c>
      <c r="Y353" s="5">
        <v>167.5</v>
      </c>
      <c r="Z353" s="5">
        <v>170.8</v>
      </c>
      <c r="AA353" s="5">
        <v>176.9</v>
      </c>
      <c r="AB353" s="5">
        <v>173.4</v>
      </c>
      <c r="AC353" s="5">
        <v>174.6</v>
      </c>
      <c r="AD353" s="5">
        <v>177.8</v>
      </c>
    </row>
    <row r="354" spans="1:30" x14ac:dyDescent="0.3">
      <c r="A354" t="s">
        <v>33</v>
      </c>
      <c r="B354" s="3">
        <v>2022</v>
      </c>
      <c r="C354" t="s">
        <v>45</v>
      </c>
      <c r="D354" s="5">
        <v>168.4</v>
      </c>
      <c r="E354" s="5">
        <v>213.4</v>
      </c>
      <c r="F354" s="5">
        <v>183.2</v>
      </c>
      <c r="G354" s="5">
        <v>172.3</v>
      </c>
      <c r="H354" s="5">
        <v>180</v>
      </c>
      <c r="I354" s="5">
        <v>162.6</v>
      </c>
      <c r="J354" s="5">
        <v>205.5</v>
      </c>
      <c r="K354" s="5">
        <v>171</v>
      </c>
      <c r="L354" s="5">
        <v>123.4</v>
      </c>
      <c r="M354" s="5">
        <v>198.8</v>
      </c>
      <c r="N354" s="5">
        <v>162.1</v>
      </c>
      <c r="O354" s="5">
        <v>192.4</v>
      </c>
      <c r="P354" s="5">
        <v>181.3</v>
      </c>
      <c r="Q354" s="5">
        <v>200.6</v>
      </c>
      <c r="R354" s="5">
        <v>176.7</v>
      </c>
      <c r="S354" s="5">
        <v>163.5</v>
      </c>
      <c r="T354" s="5">
        <v>174.7</v>
      </c>
      <c r="U354" s="5">
        <v>171.8</v>
      </c>
      <c r="V354" s="5">
        <v>180.3</v>
      </c>
      <c r="W354" s="5">
        <v>166.9</v>
      </c>
      <c r="X354" s="5">
        <v>175.8</v>
      </c>
      <c r="Y354" s="5">
        <v>158.9</v>
      </c>
      <c r="Z354" s="5">
        <v>166.7</v>
      </c>
      <c r="AA354" s="5">
        <v>171.5</v>
      </c>
      <c r="AB354" s="5">
        <v>173.8</v>
      </c>
      <c r="AC354" s="5">
        <v>167.4</v>
      </c>
      <c r="AD354" s="5">
        <v>174.1</v>
      </c>
    </row>
    <row r="355" spans="1:30" x14ac:dyDescent="0.3">
      <c r="A355" t="s">
        <v>34</v>
      </c>
      <c r="B355" s="3">
        <v>2022</v>
      </c>
      <c r="C355" t="s">
        <v>45</v>
      </c>
      <c r="D355" s="5">
        <v>167.4</v>
      </c>
      <c r="E355" s="5">
        <v>209.4</v>
      </c>
      <c r="F355" s="5">
        <v>181.4</v>
      </c>
      <c r="G355" s="5">
        <v>172.3</v>
      </c>
      <c r="H355" s="5">
        <v>188.9</v>
      </c>
      <c r="I355" s="5">
        <v>160.69999999999999</v>
      </c>
      <c r="J355" s="5">
        <v>183.1</v>
      </c>
      <c r="K355" s="5">
        <v>170.5</v>
      </c>
      <c r="L355" s="5">
        <v>122.1</v>
      </c>
      <c r="M355" s="5">
        <v>202.8</v>
      </c>
      <c r="N355" s="5">
        <v>170.4</v>
      </c>
      <c r="O355" s="5">
        <v>189.5</v>
      </c>
      <c r="P355" s="5">
        <v>178.3</v>
      </c>
      <c r="Q355" s="5">
        <v>196.9</v>
      </c>
      <c r="R355" s="5">
        <v>183.1</v>
      </c>
      <c r="S355" s="5">
        <v>176.2</v>
      </c>
      <c r="T355" s="5">
        <v>182.1</v>
      </c>
      <c r="U355" s="5">
        <v>171.8</v>
      </c>
      <c r="V355" s="5">
        <v>181.3</v>
      </c>
      <c r="W355" s="5">
        <v>171.4</v>
      </c>
      <c r="X355" s="5">
        <v>179.8</v>
      </c>
      <c r="Y355" s="5">
        <v>163</v>
      </c>
      <c r="Z355" s="5">
        <v>168.5</v>
      </c>
      <c r="AA355" s="5">
        <v>173.7</v>
      </c>
      <c r="AB355" s="5">
        <v>173.6</v>
      </c>
      <c r="AC355" s="5">
        <v>171.1</v>
      </c>
      <c r="AD355" s="5">
        <v>176.5</v>
      </c>
    </row>
    <row r="356" spans="1:30" x14ac:dyDescent="0.3">
      <c r="A356" t="s">
        <v>30</v>
      </c>
      <c r="B356" s="3">
        <v>2022</v>
      </c>
      <c r="C356" t="s">
        <v>46</v>
      </c>
      <c r="D356" s="5">
        <v>168.8</v>
      </c>
      <c r="E356" s="5">
        <v>206.9</v>
      </c>
      <c r="F356" s="5">
        <v>189.1</v>
      </c>
      <c r="G356" s="5">
        <v>173.4</v>
      </c>
      <c r="H356" s="5">
        <v>193.9</v>
      </c>
      <c r="I356" s="5">
        <v>156.69999999999999</v>
      </c>
      <c r="J356" s="5">
        <v>150.19999999999999</v>
      </c>
      <c r="K356" s="5">
        <v>170.5</v>
      </c>
      <c r="L356" s="5">
        <v>121.2</v>
      </c>
      <c r="M356" s="5">
        <v>207.5</v>
      </c>
      <c r="N356" s="5">
        <v>176.8</v>
      </c>
      <c r="O356" s="5">
        <v>187.7</v>
      </c>
      <c r="P356" s="5">
        <v>174.4</v>
      </c>
      <c r="Q356" s="5">
        <v>195.9</v>
      </c>
      <c r="R356" s="5">
        <v>188.1</v>
      </c>
      <c r="S356" s="5">
        <v>185.9</v>
      </c>
      <c r="T356" s="5">
        <v>187.8</v>
      </c>
      <c r="U356" s="5" t="s">
        <v>32</v>
      </c>
      <c r="V356" s="5">
        <v>182.8</v>
      </c>
      <c r="W356" s="5">
        <v>176.4</v>
      </c>
      <c r="X356" s="5">
        <v>183.5</v>
      </c>
      <c r="Y356" s="5">
        <v>167.8</v>
      </c>
      <c r="Z356" s="5">
        <v>171.2</v>
      </c>
      <c r="AA356" s="5">
        <v>177.3</v>
      </c>
      <c r="AB356" s="5">
        <v>175.7</v>
      </c>
      <c r="AC356" s="5">
        <v>175.5</v>
      </c>
      <c r="AD356" s="5">
        <v>177.1</v>
      </c>
    </row>
    <row r="357" spans="1:30" x14ac:dyDescent="0.3">
      <c r="A357" t="s">
        <v>33</v>
      </c>
      <c r="B357" s="3">
        <v>2022</v>
      </c>
      <c r="C357" t="s">
        <v>46</v>
      </c>
      <c r="D357" s="5">
        <v>170.2</v>
      </c>
      <c r="E357" s="5">
        <v>212.9</v>
      </c>
      <c r="F357" s="5">
        <v>191.9</v>
      </c>
      <c r="G357" s="5">
        <v>173.9</v>
      </c>
      <c r="H357" s="5">
        <v>179.1</v>
      </c>
      <c r="I357" s="5">
        <v>159.5</v>
      </c>
      <c r="J357" s="5">
        <v>178.7</v>
      </c>
      <c r="K357" s="5">
        <v>171.3</v>
      </c>
      <c r="L357" s="5">
        <v>123.1</v>
      </c>
      <c r="M357" s="5">
        <v>200.5</v>
      </c>
      <c r="N357" s="5">
        <v>162.80000000000001</v>
      </c>
      <c r="O357" s="5">
        <v>193.3</v>
      </c>
      <c r="P357" s="5">
        <v>178.6</v>
      </c>
      <c r="Q357" s="5">
        <v>201.1</v>
      </c>
      <c r="R357" s="5">
        <v>177.7</v>
      </c>
      <c r="S357" s="5">
        <v>164.5</v>
      </c>
      <c r="T357" s="5">
        <v>175.7</v>
      </c>
      <c r="U357" s="5">
        <v>170.7</v>
      </c>
      <c r="V357" s="5">
        <v>180.6</v>
      </c>
      <c r="W357" s="5">
        <v>167.3</v>
      </c>
      <c r="X357" s="5">
        <v>177.2</v>
      </c>
      <c r="Y357" s="5">
        <v>159.4</v>
      </c>
      <c r="Z357" s="5">
        <v>167.1</v>
      </c>
      <c r="AA357" s="5">
        <v>171.8</v>
      </c>
      <c r="AB357" s="5">
        <v>176</v>
      </c>
      <c r="AC357" s="5">
        <v>168.2</v>
      </c>
      <c r="AD357" s="5">
        <v>174.1</v>
      </c>
    </row>
    <row r="358" spans="1:30" x14ac:dyDescent="0.3">
      <c r="A358" t="s">
        <v>34</v>
      </c>
      <c r="B358" s="3">
        <v>2022</v>
      </c>
      <c r="C358" t="s">
        <v>46</v>
      </c>
      <c r="D358" s="5">
        <v>169.2</v>
      </c>
      <c r="E358" s="5">
        <v>209</v>
      </c>
      <c r="F358" s="5">
        <v>190.2</v>
      </c>
      <c r="G358" s="5">
        <v>173.6</v>
      </c>
      <c r="H358" s="5">
        <v>188.5</v>
      </c>
      <c r="I358" s="5">
        <v>158</v>
      </c>
      <c r="J358" s="5">
        <v>159.9</v>
      </c>
      <c r="K358" s="5">
        <v>170.8</v>
      </c>
      <c r="L358" s="5">
        <v>121.8</v>
      </c>
      <c r="M358" s="5">
        <v>205.2</v>
      </c>
      <c r="N358" s="5">
        <v>171</v>
      </c>
      <c r="O358" s="5">
        <v>190.3</v>
      </c>
      <c r="P358" s="5">
        <v>175.9</v>
      </c>
      <c r="Q358" s="5">
        <v>197.3</v>
      </c>
      <c r="R358" s="5">
        <v>184</v>
      </c>
      <c r="S358" s="5">
        <v>177</v>
      </c>
      <c r="T358" s="5">
        <v>183</v>
      </c>
      <c r="U358" s="5">
        <v>170.7</v>
      </c>
      <c r="V358" s="5">
        <v>182</v>
      </c>
      <c r="W358" s="5">
        <v>172.1</v>
      </c>
      <c r="X358" s="5">
        <v>181.1</v>
      </c>
      <c r="Y358" s="5">
        <v>163.4</v>
      </c>
      <c r="Z358" s="5">
        <v>168.9</v>
      </c>
      <c r="AA358" s="5">
        <v>174.1</v>
      </c>
      <c r="AB358" s="5">
        <v>175.8</v>
      </c>
      <c r="AC358" s="5">
        <v>172</v>
      </c>
      <c r="AD358" s="5">
        <v>175.7</v>
      </c>
    </row>
    <row r="359" spans="1:30" x14ac:dyDescent="0.3">
      <c r="A359" t="s">
        <v>30</v>
      </c>
      <c r="B359" s="3">
        <v>2023</v>
      </c>
      <c r="C359" t="s">
        <v>31</v>
      </c>
      <c r="D359" s="5">
        <v>174</v>
      </c>
      <c r="E359" s="5">
        <v>208.3</v>
      </c>
      <c r="F359" s="5">
        <v>192.9</v>
      </c>
      <c r="G359" s="5">
        <v>174.3</v>
      </c>
      <c r="H359" s="5">
        <v>192.6</v>
      </c>
      <c r="I359" s="5">
        <v>156.30000000000001</v>
      </c>
      <c r="J359" s="5">
        <v>142.9</v>
      </c>
      <c r="K359" s="5">
        <v>170.7</v>
      </c>
      <c r="L359" s="5">
        <v>120.3</v>
      </c>
      <c r="M359" s="5">
        <v>210.5</v>
      </c>
      <c r="N359" s="5">
        <v>176.9</v>
      </c>
      <c r="O359" s="5">
        <v>188.5</v>
      </c>
      <c r="P359" s="5">
        <v>175</v>
      </c>
      <c r="Q359" s="5">
        <v>196.9</v>
      </c>
      <c r="R359" s="5">
        <v>189</v>
      </c>
      <c r="S359" s="5">
        <v>186.3</v>
      </c>
      <c r="T359" s="5">
        <v>188.6</v>
      </c>
      <c r="U359" s="5" t="s">
        <v>32</v>
      </c>
      <c r="V359" s="5">
        <v>183.2</v>
      </c>
      <c r="W359" s="5">
        <v>177.2</v>
      </c>
      <c r="X359" s="5">
        <v>184.7</v>
      </c>
      <c r="Y359" s="5">
        <v>168.2</v>
      </c>
      <c r="Z359" s="5">
        <v>171.8</v>
      </c>
      <c r="AA359" s="5">
        <v>177.8</v>
      </c>
      <c r="AB359" s="5">
        <v>178.4</v>
      </c>
      <c r="AC359" s="5">
        <v>176.5</v>
      </c>
      <c r="AD359" s="5">
        <v>177.8</v>
      </c>
    </row>
    <row r="360" spans="1:30" x14ac:dyDescent="0.3">
      <c r="A360" t="s">
        <v>33</v>
      </c>
      <c r="B360" s="3">
        <v>2023</v>
      </c>
      <c r="C360" t="s">
        <v>31</v>
      </c>
      <c r="D360" s="5">
        <v>173.3</v>
      </c>
      <c r="E360" s="5">
        <v>215.2</v>
      </c>
      <c r="F360" s="5">
        <v>197</v>
      </c>
      <c r="G360" s="5">
        <v>175.2</v>
      </c>
      <c r="H360" s="5">
        <v>178</v>
      </c>
      <c r="I360" s="5">
        <v>160.5</v>
      </c>
      <c r="J360" s="5">
        <v>175.3</v>
      </c>
      <c r="K360" s="5">
        <v>171.2</v>
      </c>
      <c r="L360" s="5">
        <v>122.7</v>
      </c>
      <c r="M360" s="5">
        <v>204.3</v>
      </c>
      <c r="N360" s="5">
        <v>163.69999999999999</v>
      </c>
      <c r="O360" s="5">
        <v>194.3</v>
      </c>
      <c r="P360" s="5">
        <v>179.5</v>
      </c>
      <c r="Q360" s="5">
        <v>201.6</v>
      </c>
      <c r="R360" s="5">
        <v>178.7</v>
      </c>
      <c r="S360" s="5">
        <v>165.3</v>
      </c>
      <c r="T360" s="5">
        <v>176.6</v>
      </c>
      <c r="U360" s="5">
        <v>172.1</v>
      </c>
      <c r="V360" s="5">
        <v>180.1</v>
      </c>
      <c r="W360" s="5">
        <v>168</v>
      </c>
      <c r="X360" s="5">
        <v>178.5</v>
      </c>
      <c r="Y360" s="5">
        <v>159.5</v>
      </c>
      <c r="Z360" s="5">
        <v>167.8</v>
      </c>
      <c r="AA360" s="5">
        <v>171.8</v>
      </c>
      <c r="AB360" s="5">
        <v>178.8</v>
      </c>
      <c r="AC360" s="5">
        <v>168.9</v>
      </c>
      <c r="AD360" s="5">
        <v>174.9</v>
      </c>
    </row>
    <row r="361" spans="1:30" x14ac:dyDescent="0.3">
      <c r="A361" t="s">
        <v>34</v>
      </c>
      <c r="B361" s="3">
        <v>2023</v>
      </c>
      <c r="C361" t="s">
        <v>31</v>
      </c>
      <c r="D361" s="5">
        <v>173.8</v>
      </c>
      <c r="E361" s="5">
        <v>210.7</v>
      </c>
      <c r="F361" s="5">
        <v>194.5</v>
      </c>
      <c r="G361" s="5">
        <v>174.6</v>
      </c>
      <c r="H361" s="5">
        <v>187.2</v>
      </c>
      <c r="I361" s="5">
        <v>158.30000000000001</v>
      </c>
      <c r="J361" s="5">
        <v>153.9</v>
      </c>
      <c r="K361" s="5">
        <v>170.9</v>
      </c>
      <c r="L361" s="5">
        <v>121.1</v>
      </c>
      <c r="M361" s="5">
        <v>208.4</v>
      </c>
      <c r="N361" s="5">
        <v>171.4</v>
      </c>
      <c r="O361" s="5">
        <v>191.2</v>
      </c>
      <c r="P361" s="5">
        <v>176.7</v>
      </c>
      <c r="Q361" s="5">
        <v>198.2</v>
      </c>
      <c r="R361" s="5">
        <v>184.9</v>
      </c>
      <c r="S361" s="5">
        <v>177.6</v>
      </c>
      <c r="T361" s="5">
        <v>183.8</v>
      </c>
      <c r="U361" s="5">
        <v>172.1</v>
      </c>
      <c r="V361" s="5">
        <v>182</v>
      </c>
      <c r="W361" s="5">
        <v>172.9</v>
      </c>
      <c r="X361" s="5">
        <v>182.3</v>
      </c>
      <c r="Y361" s="5">
        <v>163.6</v>
      </c>
      <c r="Z361" s="5">
        <v>169.5</v>
      </c>
      <c r="AA361" s="5">
        <v>174.3</v>
      </c>
      <c r="AB361" s="5">
        <v>178.6</v>
      </c>
      <c r="AC361" s="5">
        <v>172.8</v>
      </c>
      <c r="AD361" s="5">
        <v>176.5</v>
      </c>
    </row>
    <row r="362" spans="1:30" x14ac:dyDescent="0.3">
      <c r="A362" t="s">
        <v>30</v>
      </c>
      <c r="B362" s="3">
        <v>2023</v>
      </c>
      <c r="C362" t="s">
        <v>35</v>
      </c>
      <c r="D362" s="5">
        <v>174.2</v>
      </c>
      <c r="E362" s="5">
        <v>205.2</v>
      </c>
      <c r="F362" s="5">
        <v>173.9</v>
      </c>
      <c r="G362" s="5">
        <v>177</v>
      </c>
      <c r="H362" s="5">
        <v>183.4</v>
      </c>
      <c r="I362" s="5">
        <v>167.2</v>
      </c>
      <c r="J362" s="5">
        <v>140.9</v>
      </c>
      <c r="K362" s="5">
        <v>170.4</v>
      </c>
      <c r="L362" s="5">
        <v>119.1</v>
      </c>
      <c r="M362" s="5">
        <v>212.1</v>
      </c>
      <c r="N362" s="5">
        <v>177.6</v>
      </c>
      <c r="O362" s="5">
        <v>189.9</v>
      </c>
      <c r="P362" s="5">
        <v>174.8</v>
      </c>
      <c r="Q362" s="5">
        <v>198.3</v>
      </c>
      <c r="R362" s="5">
        <v>190</v>
      </c>
      <c r="S362" s="5">
        <v>187</v>
      </c>
      <c r="T362" s="5">
        <v>189.6</v>
      </c>
      <c r="U362" s="5" t="s">
        <v>32</v>
      </c>
      <c r="V362" s="5">
        <v>181.6</v>
      </c>
      <c r="W362" s="5">
        <v>178.6</v>
      </c>
      <c r="X362" s="5">
        <v>186.6</v>
      </c>
      <c r="Y362" s="5">
        <v>169</v>
      </c>
      <c r="Z362" s="5">
        <v>172.8</v>
      </c>
      <c r="AA362" s="5">
        <v>178.5</v>
      </c>
      <c r="AB362" s="5">
        <v>180.7</v>
      </c>
      <c r="AC362" s="5">
        <v>177.9</v>
      </c>
      <c r="AD362" s="5">
        <v>178</v>
      </c>
    </row>
    <row r="363" spans="1:30" x14ac:dyDescent="0.3">
      <c r="A363" t="s">
        <v>33</v>
      </c>
      <c r="B363" s="3">
        <v>2023</v>
      </c>
      <c r="C363" t="s">
        <v>35</v>
      </c>
      <c r="D363" s="5">
        <v>174.7</v>
      </c>
      <c r="E363" s="5">
        <v>212.2</v>
      </c>
      <c r="F363" s="5">
        <v>177.2</v>
      </c>
      <c r="G363" s="5">
        <v>177.9</v>
      </c>
      <c r="H363" s="5">
        <v>172.2</v>
      </c>
      <c r="I363" s="5">
        <v>172.1</v>
      </c>
      <c r="J363" s="5">
        <v>175.8</v>
      </c>
      <c r="K363" s="5">
        <v>172.2</v>
      </c>
      <c r="L363" s="5">
        <v>121.9</v>
      </c>
      <c r="M363" s="5">
        <v>204.8</v>
      </c>
      <c r="N363" s="5">
        <v>164.9</v>
      </c>
      <c r="O363" s="5">
        <v>196.6</v>
      </c>
      <c r="P363" s="5">
        <v>180.7</v>
      </c>
      <c r="Q363" s="5">
        <v>202.7</v>
      </c>
      <c r="R363" s="5">
        <v>180.3</v>
      </c>
      <c r="S363" s="5">
        <v>167</v>
      </c>
      <c r="T363" s="5">
        <v>178.2</v>
      </c>
      <c r="U363" s="5">
        <v>173.5</v>
      </c>
      <c r="V363" s="5">
        <v>182.8</v>
      </c>
      <c r="W363" s="5">
        <v>169.2</v>
      </c>
      <c r="X363" s="5">
        <v>180.8</v>
      </c>
      <c r="Y363" s="5">
        <v>159.80000000000001</v>
      </c>
      <c r="Z363" s="5">
        <v>168.4</v>
      </c>
      <c r="AA363" s="5">
        <v>172.5</v>
      </c>
      <c r="AB363" s="5">
        <v>181.4</v>
      </c>
      <c r="AC363" s="5">
        <v>170</v>
      </c>
      <c r="AD363" s="5">
        <v>176.3</v>
      </c>
    </row>
    <row r="364" spans="1:30" x14ac:dyDescent="0.3">
      <c r="A364" t="s">
        <v>34</v>
      </c>
      <c r="B364" s="3">
        <v>2023</v>
      </c>
      <c r="C364" t="s">
        <v>35</v>
      </c>
      <c r="D364" s="5">
        <v>174.4</v>
      </c>
      <c r="E364" s="5">
        <v>207.7</v>
      </c>
      <c r="F364" s="5">
        <v>175.2</v>
      </c>
      <c r="G364" s="5">
        <v>177.3</v>
      </c>
      <c r="H364" s="5">
        <v>179.3</v>
      </c>
      <c r="I364" s="5">
        <v>169.5</v>
      </c>
      <c r="J364" s="5">
        <v>152.69999999999999</v>
      </c>
      <c r="K364" s="5">
        <v>171</v>
      </c>
      <c r="L364" s="5">
        <v>120</v>
      </c>
      <c r="M364" s="5">
        <v>209.7</v>
      </c>
      <c r="N364" s="5">
        <v>172.3</v>
      </c>
      <c r="O364" s="5">
        <v>193</v>
      </c>
      <c r="P364" s="5">
        <v>177</v>
      </c>
      <c r="Q364" s="5">
        <v>199.5</v>
      </c>
      <c r="R364" s="5">
        <v>186.2</v>
      </c>
      <c r="S364" s="5">
        <v>178.7</v>
      </c>
      <c r="T364" s="5">
        <v>185.1</v>
      </c>
      <c r="U364" s="5">
        <v>173.5</v>
      </c>
      <c r="V364" s="5">
        <v>182.1</v>
      </c>
      <c r="W364" s="5">
        <v>174.2</v>
      </c>
      <c r="X364" s="5">
        <v>184.4</v>
      </c>
      <c r="Y364" s="5">
        <v>164.2</v>
      </c>
      <c r="Z364" s="5">
        <v>170.3</v>
      </c>
      <c r="AA364" s="5">
        <v>175</v>
      </c>
      <c r="AB364" s="5">
        <v>181</v>
      </c>
      <c r="AC364" s="5">
        <v>174.1</v>
      </c>
      <c r="AD364" s="5">
        <v>177.2</v>
      </c>
    </row>
    <row r="365" spans="1:30" x14ac:dyDescent="0.3">
      <c r="A365" t="s">
        <v>30</v>
      </c>
      <c r="B365" s="3">
        <v>2023</v>
      </c>
      <c r="C365" t="s">
        <v>36</v>
      </c>
      <c r="D365" s="5">
        <v>174.3</v>
      </c>
      <c r="E365" s="5">
        <v>205.2</v>
      </c>
      <c r="F365" s="5">
        <v>173.9</v>
      </c>
      <c r="G365" s="5">
        <v>177</v>
      </c>
      <c r="H365" s="5">
        <v>183.3</v>
      </c>
      <c r="I365" s="5">
        <v>167.2</v>
      </c>
      <c r="J365" s="5">
        <v>140.9</v>
      </c>
      <c r="K365" s="5">
        <v>170.5</v>
      </c>
      <c r="L365" s="5">
        <v>119.1</v>
      </c>
      <c r="M365" s="5">
        <v>212.1</v>
      </c>
      <c r="N365" s="5">
        <v>177.6</v>
      </c>
      <c r="O365" s="5">
        <v>189.9</v>
      </c>
      <c r="P365" s="5">
        <v>174.8</v>
      </c>
      <c r="Q365" s="5">
        <v>198.4</v>
      </c>
      <c r="R365" s="5">
        <v>190</v>
      </c>
      <c r="S365" s="5">
        <v>187</v>
      </c>
      <c r="T365" s="5">
        <v>189.6</v>
      </c>
      <c r="U365" s="5" t="s">
        <v>32</v>
      </c>
      <c r="V365" s="5">
        <v>181.4</v>
      </c>
      <c r="W365" s="5">
        <v>178.6</v>
      </c>
      <c r="X365" s="5">
        <v>186.6</v>
      </c>
      <c r="Y365" s="5">
        <v>169</v>
      </c>
      <c r="Z365" s="5">
        <v>172.8</v>
      </c>
      <c r="AA365" s="5">
        <v>178.5</v>
      </c>
      <c r="AB365" s="5">
        <v>180.7</v>
      </c>
      <c r="AC365" s="5">
        <v>177.9</v>
      </c>
      <c r="AD365" s="5">
        <v>178</v>
      </c>
    </row>
    <row r="366" spans="1:30" x14ac:dyDescent="0.3">
      <c r="A366" t="s">
        <v>33</v>
      </c>
      <c r="B366" s="3">
        <v>2023</v>
      </c>
      <c r="C366" t="s">
        <v>36</v>
      </c>
      <c r="D366" s="5">
        <v>174.7</v>
      </c>
      <c r="E366" s="5">
        <v>212.2</v>
      </c>
      <c r="F366" s="5">
        <v>177.2</v>
      </c>
      <c r="G366" s="5">
        <v>177.9</v>
      </c>
      <c r="H366" s="5">
        <v>172.2</v>
      </c>
      <c r="I366" s="5">
        <v>172.1</v>
      </c>
      <c r="J366" s="5">
        <v>175.9</v>
      </c>
      <c r="K366" s="5">
        <v>172.2</v>
      </c>
      <c r="L366" s="5">
        <v>121.9</v>
      </c>
      <c r="M366" s="5">
        <v>204.8</v>
      </c>
      <c r="N366" s="5">
        <v>164.9</v>
      </c>
      <c r="O366" s="5">
        <v>196.6</v>
      </c>
      <c r="P366" s="5">
        <v>180.8</v>
      </c>
      <c r="Q366" s="5">
        <v>202.7</v>
      </c>
      <c r="R366" s="5">
        <v>180.2</v>
      </c>
      <c r="S366" s="5">
        <v>167</v>
      </c>
      <c r="T366" s="5">
        <v>178.2</v>
      </c>
      <c r="U366" s="5">
        <v>173.5</v>
      </c>
      <c r="V366" s="5">
        <v>182.6</v>
      </c>
      <c r="W366" s="5">
        <v>169.2</v>
      </c>
      <c r="X366" s="5">
        <v>180.8</v>
      </c>
      <c r="Y366" s="5">
        <v>159.80000000000001</v>
      </c>
      <c r="Z366" s="5">
        <v>168.4</v>
      </c>
      <c r="AA366" s="5">
        <v>172.5</v>
      </c>
      <c r="AB366" s="5">
        <v>181.5</v>
      </c>
      <c r="AC366" s="5">
        <v>170</v>
      </c>
      <c r="AD366" s="5">
        <v>176.3</v>
      </c>
    </row>
    <row r="367" spans="1:30" x14ac:dyDescent="0.3">
      <c r="A367" t="s">
        <v>34</v>
      </c>
      <c r="B367" s="3">
        <v>2023</v>
      </c>
      <c r="C367" t="s">
        <v>36</v>
      </c>
      <c r="D367" s="5">
        <v>174.4</v>
      </c>
      <c r="E367" s="5">
        <v>207.7</v>
      </c>
      <c r="F367" s="5">
        <v>175.2</v>
      </c>
      <c r="G367" s="5">
        <v>177.3</v>
      </c>
      <c r="H367" s="5">
        <v>179.2</v>
      </c>
      <c r="I367" s="5">
        <v>169.5</v>
      </c>
      <c r="J367" s="5">
        <v>152.80000000000001</v>
      </c>
      <c r="K367" s="5">
        <v>171.1</v>
      </c>
      <c r="L367" s="5">
        <v>120</v>
      </c>
      <c r="M367" s="5">
        <v>209.7</v>
      </c>
      <c r="N367" s="5">
        <v>172.3</v>
      </c>
      <c r="O367" s="5">
        <v>193</v>
      </c>
      <c r="P367" s="5">
        <v>177</v>
      </c>
      <c r="Q367" s="5">
        <v>199.5</v>
      </c>
      <c r="R367" s="5">
        <v>186.1</v>
      </c>
      <c r="S367" s="5">
        <v>178.7</v>
      </c>
      <c r="T367" s="5">
        <v>185.1</v>
      </c>
      <c r="U367" s="5">
        <v>173.5</v>
      </c>
      <c r="V367" s="5">
        <v>181.9</v>
      </c>
      <c r="W367" s="5">
        <v>174.2</v>
      </c>
      <c r="X367" s="5">
        <v>184.4</v>
      </c>
      <c r="Y367" s="5">
        <v>164.2</v>
      </c>
      <c r="Z367" s="5">
        <v>170.3</v>
      </c>
      <c r="AA367" s="5">
        <v>175</v>
      </c>
      <c r="AB367" s="5">
        <v>181</v>
      </c>
      <c r="AC367" s="5">
        <v>174.1</v>
      </c>
      <c r="AD367" s="5">
        <v>177.2</v>
      </c>
    </row>
    <row r="368" spans="1:30" x14ac:dyDescent="0.3">
      <c r="A368" t="s">
        <v>30</v>
      </c>
      <c r="B368" s="3">
        <v>2023</v>
      </c>
      <c r="C368" t="s">
        <v>37</v>
      </c>
      <c r="D368" s="5">
        <v>173.3</v>
      </c>
      <c r="E368" s="5">
        <v>206.9</v>
      </c>
      <c r="F368" s="5">
        <v>167.9</v>
      </c>
      <c r="G368" s="5">
        <v>178.2</v>
      </c>
      <c r="H368" s="5">
        <v>178.5</v>
      </c>
      <c r="I368" s="5">
        <v>173.7</v>
      </c>
      <c r="J368" s="5">
        <v>142.80000000000001</v>
      </c>
      <c r="K368" s="5">
        <v>172.8</v>
      </c>
      <c r="L368" s="5">
        <v>120.4</v>
      </c>
      <c r="M368" s="5">
        <v>215.5</v>
      </c>
      <c r="N368" s="5">
        <v>178.2</v>
      </c>
      <c r="O368" s="5">
        <v>190.5</v>
      </c>
      <c r="P368" s="5">
        <v>175.5</v>
      </c>
      <c r="Q368" s="5">
        <v>199.5</v>
      </c>
      <c r="R368" s="5">
        <v>190.7</v>
      </c>
      <c r="S368" s="5">
        <v>187.3</v>
      </c>
      <c r="T368" s="5">
        <v>190.2</v>
      </c>
      <c r="U368" s="5" t="s">
        <v>48</v>
      </c>
      <c r="V368" s="5">
        <v>181.5</v>
      </c>
      <c r="W368" s="5">
        <v>179.1</v>
      </c>
      <c r="X368" s="5">
        <v>187.2</v>
      </c>
      <c r="Y368" s="5">
        <v>169.4</v>
      </c>
      <c r="Z368" s="5">
        <v>173.2</v>
      </c>
      <c r="AA368" s="5">
        <v>179.4</v>
      </c>
      <c r="AB368" s="5">
        <v>183.8</v>
      </c>
      <c r="AC368" s="5">
        <v>178.9</v>
      </c>
      <c r="AD368" s="5">
        <v>178.8</v>
      </c>
    </row>
    <row r="369" spans="1:30" x14ac:dyDescent="0.3">
      <c r="A369" t="s">
        <v>33</v>
      </c>
      <c r="B369" s="3">
        <v>2023</v>
      </c>
      <c r="C369" t="s">
        <v>37</v>
      </c>
      <c r="D369" s="5">
        <v>174.8</v>
      </c>
      <c r="E369" s="5">
        <v>213.7</v>
      </c>
      <c r="F369" s="5">
        <v>172.4</v>
      </c>
      <c r="G369" s="5">
        <v>178.8</v>
      </c>
      <c r="H369" s="5">
        <v>168.7</v>
      </c>
      <c r="I369" s="5">
        <v>179.2</v>
      </c>
      <c r="J369" s="5">
        <v>179.9</v>
      </c>
      <c r="K369" s="5">
        <v>174.7</v>
      </c>
      <c r="L369" s="5">
        <v>123.1</v>
      </c>
      <c r="M369" s="5">
        <v>207.8</v>
      </c>
      <c r="N369" s="5">
        <v>165.5</v>
      </c>
      <c r="O369" s="5">
        <v>197</v>
      </c>
      <c r="P369" s="5">
        <v>182.1</v>
      </c>
      <c r="Q369" s="5">
        <v>203.5</v>
      </c>
      <c r="R369" s="5">
        <v>181</v>
      </c>
      <c r="S369" s="5">
        <v>167.7</v>
      </c>
      <c r="T369" s="5">
        <v>178.9</v>
      </c>
      <c r="U369" s="5">
        <v>175.2</v>
      </c>
      <c r="V369" s="5">
        <v>182.1</v>
      </c>
      <c r="W369" s="5">
        <v>169.6</v>
      </c>
      <c r="X369" s="5">
        <v>181.5</v>
      </c>
      <c r="Y369" s="5">
        <v>160.1</v>
      </c>
      <c r="Z369" s="5">
        <v>168.8</v>
      </c>
      <c r="AA369" s="5">
        <v>174.2</v>
      </c>
      <c r="AB369" s="5">
        <v>184.4</v>
      </c>
      <c r="AC369" s="5">
        <v>170.9</v>
      </c>
      <c r="AD369" s="5">
        <v>177.4</v>
      </c>
    </row>
    <row r="370" spans="1:30" x14ac:dyDescent="0.3">
      <c r="A370" t="s">
        <v>34</v>
      </c>
      <c r="B370" s="3">
        <v>2023</v>
      </c>
      <c r="C370" t="s">
        <v>37</v>
      </c>
      <c r="D370" s="5">
        <v>173.8</v>
      </c>
      <c r="E370" s="5">
        <v>209.3</v>
      </c>
      <c r="F370" s="5">
        <v>169.6</v>
      </c>
      <c r="G370" s="5">
        <v>178.4</v>
      </c>
      <c r="H370" s="5">
        <v>174.9</v>
      </c>
      <c r="I370" s="5">
        <v>176.3</v>
      </c>
      <c r="J370" s="5">
        <v>155.4</v>
      </c>
      <c r="K370" s="5">
        <v>173.4</v>
      </c>
      <c r="L370" s="5">
        <v>121.3</v>
      </c>
      <c r="M370" s="5">
        <v>212.9</v>
      </c>
      <c r="N370" s="5">
        <v>172.9</v>
      </c>
      <c r="O370" s="5">
        <v>193.5</v>
      </c>
      <c r="P370" s="5">
        <v>177.9</v>
      </c>
      <c r="Q370" s="5">
        <v>200.6</v>
      </c>
      <c r="R370" s="5">
        <v>186.9</v>
      </c>
      <c r="S370" s="5">
        <v>179.2</v>
      </c>
      <c r="T370" s="5">
        <v>185.7</v>
      </c>
      <c r="U370" s="5">
        <v>175.2</v>
      </c>
      <c r="V370" s="5">
        <v>181.7</v>
      </c>
      <c r="W370" s="5">
        <v>174.6</v>
      </c>
      <c r="X370" s="5">
        <v>185</v>
      </c>
      <c r="Y370" s="5">
        <v>164.5</v>
      </c>
      <c r="Z370" s="5">
        <v>170.7</v>
      </c>
      <c r="AA370" s="5">
        <v>176.4</v>
      </c>
      <c r="AB370" s="5">
        <v>184</v>
      </c>
      <c r="AC370" s="5">
        <v>175</v>
      </c>
      <c r="AD370" s="5">
        <v>178.1</v>
      </c>
    </row>
    <row r="371" spans="1:30" x14ac:dyDescent="0.3">
      <c r="A371" t="s">
        <v>30</v>
      </c>
      <c r="B371" s="3">
        <v>2023</v>
      </c>
      <c r="C371" t="s">
        <v>38</v>
      </c>
      <c r="D371" s="5">
        <v>173.2</v>
      </c>
      <c r="E371" s="5">
        <v>211.5</v>
      </c>
      <c r="F371" s="5">
        <v>171</v>
      </c>
      <c r="G371" s="5">
        <v>179.6</v>
      </c>
      <c r="H371" s="5">
        <v>173.3</v>
      </c>
      <c r="I371" s="5">
        <v>169</v>
      </c>
      <c r="J371" s="5">
        <v>148.69999999999999</v>
      </c>
      <c r="K371" s="5">
        <v>174.9</v>
      </c>
      <c r="L371" s="5">
        <v>121.9</v>
      </c>
      <c r="M371" s="5">
        <v>221</v>
      </c>
      <c r="N371" s="5">
        <v>178.7</v>
      </c>
      <c r="O371" s="5">
        <v>191.1</v>
      </c>
      <c r="P371" s="5">
        <v>176.8</v>
      </c>
      <c r="Q371" s="5">
        <v>199.9</v>
      </c>
      <c r="R371" s="5">
        <v>191.2</v>
      </c>
      <c r="S371" s="5">
        <v>187.9</v>
      </c>
      <c r="T371" s="5">
        <v>190.8</v>
      </c>
      <c r="U371" s="5" t="s">
        <v>48</v>
      </c>
      <c r="V371" s="5">
        <v>182.5</v>
      </c>
      <c r="W371" s="5">
        <v>179.8</v>
      </c>
      <c r="X371" s="5">
        <v>187.8</v>
      </c>
      <c r="Y371" s="5">
        <v>169.7</v>
      </c>
      <c r="Z371" s="5">
        <v>173.8</v>
      </c>
      <c r="AA371" s="5">
        <v>180.3</v>
      </c>
      <c r="AB371" s="5">
        <v>184.9</v>
      </c>
      <c r="AC371" s="5">
        <v>179.5</v>
      </c>
      <c r="AD371" s="5">
        <v>179.8</v>
      </c>
    </row>
    <row r="372" spans="1:30" x14ac:dyDescent="0.3">
      <c r="A372" t="s">
        <v>33</v>
      </c>
      <c r="B372" s="3">
        <v>2023</v>
      </c>
      <c r="C372" t="s">
        <v>38</v>
      </c>
      <c r="D372" s="5">
        <v>174.7</v>
      </c>
      <c r="E372" s="5">
        <v>219.4</v>
      </c>
      <c r="F372" s="5">
        <v>176.7</v>
      </c>
      <c r="G372" s="5">
        <v>179.4</v>
      </c>
      <c r="H372" s="5">
        <v>164.4</v>
      </c>
      <c r="I372" s="5">
        <v>175.8</v>
      </c>
      <c r="J372" s="5">
        <v>185</v>
      </c>
      <c r="K372" s="5">
        <v>176.9</v>
      </c>
      <c r="L372" s="5">
        <v>124.2</v>
      </c>
      <c r="M372" s="5">
        <v>211.9</v>
      </c>
      <c r="N372" s="5">
        <v>165.9</v>
      </c>
      <c r="O372" s="5">
        <v>197.7</v>
      </c>
      <c r="P372" s="5">
        <v>183.1</v>
      </c>
      <c r="Q372" s="5">
        <v>204.2</v>
      </c>
      <c r="R372" s="5">
        <v>181.3</v>
      </c>
      <c r="S372" s="5">
        <v>168.1</v>
      </c>
      <c r="T372" s="5">
        <v>179.3</v>
      </c>
      <c r="U372" s="5">
        <v>175.6</v>
      </c>
      <c r="V372" s="5">
        <v>183.4</v>
      </c>
      <c r="W372" s="5">
        <v>170.1</v>
      </c>
      <c r="X372" s="5">
        <v>182.2</v>
      </c>
      <c r="Y372" s="5">
        <v>160.4</v>
      </c>
      <c r="Z372" s="5">
        <v>169.2</v>
      </c>
      <c r="AA372" s="5">
        <v>174.8</v>
      </c>
      <c r="AB372" s="5">
        <v>185.6</v>
      </c>
      <c r="AC372" s="5">
        <v>171.6</v>
      </c>
      <c r="AD372" s="5">
        <v>178.2</v>
      </c>
    </row>
    <row r="373" spans="1:30" x14ac:dyDescent="0.3">
      <c r="A373" t="s">
        <v>34</v>
      </c>
      <c r="B373" s="3">
        <v>2023</v>
      </c>
      <c r="C373" t="s">
        <v>38</v>
      </c>
      <c r="D373" s="5">
        <v>173.7</v>
      </c>
      <c r="E373" s="5">
        <v>214.3</v>
      </c>
      <c r="F373" s="5">
        <v>173.2</v>
      </c>
      <c r="G373" s="5">
        <v>179.5</v>
      </c>
      <c r="H373" s="5">
        <v>170</v>
      </c>
      <c r="I373" s="5">
        <v>172.2</v>
      </c>
      <c r="J373" s="5">
        <v>161</v>
      </c>
      <c r="K373" s="5">
        <v>175.6</v>
      </c>
      <c r="L373" s="5">
        <v>122.7</v>
      </c>
      <c r="M373" s="5">
        <v>218</v>
      </c>
      <c r="N373" s="5">
        <v>173.4</v>
      </c>
      <c r="O373" s="5">
        <v>194.2</v>
      </c>
      <c r="P373" s="5">
        <v>179.1</v>
      </c>
      <c r="Q373" s="5">
        <v>201</v>
      </c>
      <c r="R373" s="5">
        <v>187.3</v>
      </c>
      <c r="S373" s="5">
        <v>179.7</v>
      </c>
      <c r="T373" s="5">
        <v>186.2</v>
      </c>
      <c r="U373" s="5">
        <v>175.6</v>
      </c>
      <c r="V373" s="5">
        <v>182.8</v>
      </c>
      <c r="W373" s="5">
        <v>175.2</v>
      </c>
      <c r="X373" s="5">
        <v>185.7</v>
      </c>
      <c r="Y373" s="5">
        <v>164.8</v>
      </c>
      <c r="Z373" s="5">
        <v>171.2</v>
      </c>
      <c r="AA373" s="5">
        <v>177.1</v>
      </c>
      <c r="AB373" s="5">
        <v>185.2</v>
      </c>
      <c r="AC373" s="5">
        <v>175.7</v>
      </c>
      <c r="AD373" s="5">
        <v>179.1</v>
      </c>
    </row>
    <row r="376" spans="1:30" x14ac:dyDescent="0.3">
      <c r="C376" t="s">
        <v>49</v>
      </c>
      <c r="D376" s="5">
        <f>AVERAGE(Table1[Cereals and products])</f>
        <v>136.68602150537626</v>
      </c>
      <c r="E376" s="5">
        <f>AVERAGE(Table1[Meat and fish])</f>
        <v>156.21144414168933</v>
      </c>
      <c r="F376" s="5">
        <f>AVERAGE(Table1[Egg])</f>
        <v>140.79756097560974</v>
      </c>
      <c r="G376" s="5">
        <f>AVERAGE(Table1[Milk and products])</f>
        <v>140.32520325203262</v>
      </c>
      <c r="H376" s="5">
        <f>AVERAGE(Table1[Oils and fats])</f>
        <v>132.12628726287261</v>
      </c>
      <c r="I376" s="5">
        <f>AVERAGE(Table1[Fruits])</f>
        <v>140.84092140921399</v>
      </c>
      <c r="J376" s="5">
        <f>AVERAGE(Table1[Vegetables])</f>
        <v>155.75203252032517</v>
      </c>
      <c r="K376" s="5">
        <f>AVERAGE(Table1[Pulses and products])</f>
        <v>141.43089430894312</v>
      </c>
      <c r="L376" s="5">
        <f>AVERAGE(Table1[Sugar and Confectionery])</f>
        <v>110.9249322493224</v>
      </c>
      <c r="M376" s="5">
        <f>AVERAGE(Table1[Spices])</f>
        <v>144.5222222222223</v>
      </c>
      <c r="N376" s="5">
        <f>AVERAGE(Table1[Non-alcoholic beverages])</f>
        <v>134.09295392953925</v>
      </c>
      <c r="O376" s="5">
        <f>AVERAGE(Table1[Prepared meals, snacks, sweets etc.])</f>
        <v>149.08715846994548</v>
      </c>
      <c r="P376" s="5">
        <f>AVERAGE(Table1[Food and beverages])</f>
        <v>142.51002710027106</v>
      </c>
      <c r="Q376" s="5">
        <f>AVERAGE(Table1[Pan, tobacco and intoxicants])</f>
        <v>155.38579234972681</v>
      </c>
      <c r="R376" s="5">
        <f>AVERAGE(Table1[Clothing])</f>
        <v>142.66366120218566</v>
      </c>
      <c r="S376" s="5">
        <f>AVERAGE(Table1[Footwear])</f>
        <v>135.97732240437156</v>
      </c>
      <c r="T376" s="5">
        <f>AVERAGE(Table1[Clothing and footwear])</f>
        <v>141.67431693989073</v>
      </c>
      <c r="U376" s="5">
        <f>AVERAGE(Table1[Housing])</f>
        <v>139.25609756097555</v>
      </c>
      <c r="V376" s="5">
        <f>AVERAGE(Table1[Fuel and light])</f>
        <v>136.51002710027097</v>
      </c>
      <c r="W376" s="5">
        <f>AVERAGE(Table1[Household goods and services])</f>
        <v>136.68688524590166</v>
      </c>
      <c r="X376" s="5">
        <f>AVERAGE(Table1[Health])</f>
        <v>138.51680216802174</v>
      </c>
      <c r="Y376" s="5">
        <f>AVERAGE(Table1[Transport and communication])</f>
        <v>127.17049180327859</v>
      </c>
      <c r="Z376" s="5">
        <f>AVERAGE(Table1[Recreation and amusement])</f>
        <v>133.89180327868851</v>
      </c>
      <c r="AA376" s="5">
        <f>AVERAGE(Table1[Education])</f>
        <v>141.13114754098362</v>
      </c>
      <c r="AB376" s="5">
        <f>AVERAGE(Table1[Personal care and effects])</f>
        <v>133.35</v>
      </c>
      <c r="AC376" s="5">
        <f>AVERAGE(Table1[Miscellaneous])</f>
        <v>134.23579234972684</v>
      </c>
      <c r="AD376" s="5">
        <f>AVERAGE(Table1[General index])</f>
        <v>139.56448087431698</v>
      </c>
    </row>
    <row r="377" spans="1:30" x14ac:dyDescent="0.3">
      <c r="C377" t="s">
        <v>50</v>
      </c>
      <c r="D377" s="5">
        <f>STDEV(Table1[Cereals and products])</f>
        <v>14.937538172759043</v>
      </c>
      <c r="E377" s="5">
        <f>STDEV(Table1[Meat and fish])</f>
        <v>33.324921012315336</v>
      </c>
      <c r="F377" s="5">
        <f>STDEV(Table1[Egg])</f>
        <v>22.52351837312624</v>
      </c>
      <c r="G377" s="5">
        <f>STDEV(Table1[Milk and products])</f>
        <v>18.354428414357507</v>
      </c>
      <c r="H377" s="5">
        <f>STDEV(Table1[Oils and fats])</f>
        <v>29.956815612932843</v>
      </c>
      <c r="I377" s="5">
        <f>STDEV(Table1[Fruits])</f>
        <v>17.370694030615258</v>
      </c>
      <c r="J377" s="5">
        <f>STDEV(Table1[Vegetables])</f>
        <v>27.906705062291479</v>
      </c>
      <c r="K377" s="5">
        <f>STDEV(Table1[Pulses and products])</f>
        <v>23.940468955673804</v>
      </c>
      <c r="L377" s="5">
        <f>STDEV(Table1[Sugar and Confectionery])</f>
        <v>9.0178643089019079</v>
      </c>
      <c r="M377" s="5">
        <f>STDEV(Table1[Spices])</f>
        <v>26.908659799815453</v>
      </c>
      <c r="N377" s="5">
        <f>STDEV(Table1[Non-alcoholic beverages])</f>
        <v>19.475042674523262</v>
      </c>
      <c r="O377" s="5">
        <f>STDEV(Table1[Prepared meals, snacks, sweets etc.])</f>
        <v>23.034177682144179</v>
      </c>
      <c r="P377" s="5">
        <f>STDEV(Table1[Food and beverages])</f>
        <v>19.695924381137882</v>
      </c>
      <c r="Q377" s="5">
        <f>STDEV(Table1[Pan, tobacco and intoxicants])</f>
        <v>29.605346893980389</v>
      </c>
      <c r="R377" s="5">
        <f>STDEV(Table1[Clothing])</f>
        <v>21.254301527178743</v>
      </c>
      <c r="S377" s="5">
        <f>STDEV(Table1[Footwear])</f>
        <v>19.74131761823401</v>
      </c>
      <c r="T377" s="5">
        <f>STDEV(Table1[Clothing and footwear])</f>
        <v>20.996623249663443</v>
      </c>
      <c r="U377" s="5">
        <f>STDEV(Table1[Housing])</f>
        <v>21.157414472420928</v>
      </c>
      <c r="V377" s="5">
        <f>STDEV(Table1[Fuel and light])</f>
        <v>22.25281448367609</v>
      </c>
      <c r="W377" s="5">
        <f>STDEV(Table1[Household goods and services])</f>
        <v>19.324347411347404</v>
      </c>
      <c r="X377" s="5">
        <f>STDEV(Table1[Health])</f>
        <v>23.702083002536131</v>
      </c>
      <c r="Y377" s="5">
        <f>STDEV(Table1[Transport and communication])</f>
        <v>19.16556567656448</v>
      </c>
      <c r="Z377" s="5">
        <f>STDEV(Table1[Recreation and amusement])</f>
        <v>20.129860285045364</v>
      </c>
      <c r="AA377" s="5">
        <f>STDEV(Table1[Education])</f>
        <v>21.206477746329575</v>
      </c>
      <c r="AB377" s="5">
        <f>STDEV(Table1[Personal care and effects])</f>
        <v>23.146324007679759</v>
      </c>
      <c r="AC377" s="5">
        <f>STDEV(Table1[Miscellaneous])</f>
        <v>20.808213678586995</v>
      </c>
      <c r="AD377" s="5">
        <f>STDEV(Table1[General index])</f>
        <v>20.377036380385686</v>
      </c>
    </row>
    <row r="378" spans="1:30" x14ac:dyDescent="0.3">
      <c r="D378" s="5" t="str">
        <f>IF(D376&gt;D377,"AVERAGE", "STDEV")</f>
        <v>AVERAGE</v>
      </c>
      <c r="E378" s="5" t="str">
        <f t="shared" ref="E378:AD378" si="0">IF(E376&gt;E377,"AVERAGE", "STDEV")</f>
        <v>AVERAGE</v>
      </c>
      <c r="F378" s="5" t="str">
        <f t="shared" si="0"/>
        <v>AVERAGE</v>
      </c>
      <c r="G378" s="5" t="str">
        <f t="shared" si="0"/>
        <v>AVERAGE</v>
      </c>
      <c r="H378" s="5" t="str">
        <f t="shared" si="0"/>
        <v>AVERAGE</v>
      </c>
      <c r="I378" s="5" t="str">
        <f t="shared" si="0"/>
        <v>AVERAGE</v>
      </c>
      <c r="J378" s="5" t="str">
        <f t="shared" si="0"/>
        <v>AVERAGE</v>
      </c>
      <c r="K378" s="5" t="str">
        <f t="shared" si="0"/>
        <v>AVERAGE</v>
      </c>
      <c r="L378" s="5" t="str">
        <f t="shared" si="0"/>
        <v>AVERAGE</v>
      </c>
      <c r="M378" s="5" t="str">
        <f t="shared" si="0"/>
        <v>AVERAGE</v>
      </c>
      <c r="N378" s="5" t="str">
        <f t="shared" si="0"/>
        <v>AVERAGE</v>
      </c>
      <c r="O378" s="5" t="str">
        <f t="shared" si="0"/>
        <v>AVERAGE</v>
      </c>
      <c r="P378" s="5" t="str">
        <f t="shared" si="0"/>
        <v>AVERAGE</v>
      </c>
      <c r="Q378" s="5" t="str">
        <f t="shared" si="0"/>
        <v>AVERAGE</v>
      </c>
      <c r="R378" s="5" t="str">
        <f t="shared" si="0"/>
        <v>AVERAGE</v>
      </c>
      <c r="S378" s="5" t="str">
        <f t="shared" si="0"/>
        <v>AVERAGE</v>
      </c>
      <c r="T378" s="5" t="str">
        <f t="shared" si="0"/>
        <v>AVERAGE</v>
      </c>
      <c r="U378" s="5" t="str">
        <f t="shared" si="0"/>
        <v>AVERAGE</v>
      </c>
      <c r="V378" s="5" t="str">
        <f t="shared" si="0"/>
        <v>AVERAGE</v>
      </c>
      <c r="W378" s="5" t="str">
        <f t="shared" si="0"/>
        <v>AVERAGE</v>
      </c>
      <c r="X378" s="5" t="str">
        <f t="shared" si="0"/>
        <v>AVERAGE</v>
      </c>
      <c r="Y378" s="5" t="str">
        <f t="shared" si="0"/>
        <v>AVERAGE</v>
      </c>
      <c r="Z378" s="5" t="str">
        <f t="shared" si="0"/>
        <v>AVERAGE</v>
      </c>
      <c r="AA378" s="5" t="str">
        <f t="shared" si="0"/>
        <v>AVERAGE</v>
      </c>
      <c r="AB378" s="5" t="str">
        <f t="shared" si="0"/>
        <v>AVERAGE</v>
      </c>
      <c r="AC378" s="5" t="str">
        <f t="shared" si="0"/>
        <v>AVERAGE</v>
      </c>
      <c r="AD378" s="5" t="str">
        <f t="shared" si="0"/>
        <v>AVERAGE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09DA-CDBB-4656-B6C1-E8377112B4C8}">
  <dimension ref="A1:AF376"/>
  <sheetViews>
    <sheetView zoomScaleNormal="100" workbookViewId="0">
      <selection sqref="A1:AD373"/>
    </sheetView>
  </sheetViews>
  <sheetFormatPr defaultRowHeight="14.4" x14ac:dyDescent="0.3"/>
  <cols>
    <col min="1" max="1" width="11.109375" bestFit="1" customWidth="1"/>
    <col min="2" max="2" width="6.88671875" bestFit="1" customWidth="1"/>
    <col min="3" max="3" width="9.77734375" bestFit="1" customWidth="1"/>
    <col min="4" max="4" width="13" bestFit="1" customWidth="1"/>
    <col min="5" max="5" width="14.109375" bestFit="1" customWidth="1"/>
    <col min="6" max="6" width="6.5546875" bestFit="1" customWidth="1"/>
    <col min="7" max="7" width="10.6640625" bestFit="1" customWidth="1"/>
    <col min="8" max="8" width="13.44140625" bestFit="1" customWidth="1"/>
    <col min="9" max="9" width="8" bestFit="1" customWidth="1"/>
    <col min="10" max="10" width="12.44140625" bestFit="1" customWidth="1"/>
    <col min="11" max="11" width="12.109375" bestFit="1" customWidth="1"/>
    <col min="12" max="12" width="14.77734375" bestFit="1" customWidth="1"/>
    <col min="13" max="13" width="8.88671875" bestFit="1" customWidth="1"/>
    <col min="14" max="14" width="14.88671875" bestFit="1" customWidth="1"/>
    <col min="15" max="15" width="17" bestFit="1" customWidth="1"/>
    <col min="16" max="16" width="11.6640625" bestFit="1" customWidth="1"/>
    <col min="17" max="17" width="17.5546875" bestFit="1" customWidth="1"/>
    <col min="18" max="18" width="10.109375" bestFit="1" customWidth="1"/>
    <col min="19" max="19" width="11.5546875" bestFit="1" customWidth="1"/>
    <col min="20" max="20" width="13.5546875" bestFit="1" customWidth="1"/>
    <col min="21" max="21" width="9.88671875" bestFit="1" customWidth="1"/>
    <col min="22" max="22" width="14.21875" bestFit="1" customWidth="1"/>
    <col min="23" max="23" width="17.44140625" bestFit="1" customWidth="1"/>
    <col min="24" max="24" width="8.77734375" bestFit="1" customWidth="1"/>
    <col min="25" max="25" width="16.44140625" bestFit="1" customWidth="1"/>
    <col min="26" max="26" width="15.77734375" customWidth="1"/>
    <col min="27" max="27" width="11.5546875" bestFit="1" customWidth="1"/>
    <col min="28" max="28" width="18" bestFit="1" customWidth="1"/>
    <col min="29" max="29" width="15.109375" bestFit="1" customWidth="1"/>
    <col min="30" max="30" width="14.6640625" bestFit="1" customWidth="1"/>
    <col min="31" max="44" width="10.77734375" customWidth="1"/>
  </cols>
  <sheetData>
    <row r="1" spans="1:32" s="8" customFormat="1" ht="28.2" customHeight="1" x14ac:dyDescent="0.3">
      <c r="A1" s="8" t="s">
        <v>0</v>
      </c>
      <c r="B1" s="8" t="s">
        <v>1</v>
      </c>
      <c r="C1" s="8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5" t="s">
        <v>18</v>
      </c>
      <c r="T1" s="14" t="s">
        <v>19</v>
      </c>
      <c r="U1" s="14" t="s">
        <v>20</v>
      </c>
      <c r="V1" s="14" t="s">
        <v>21</v>
      </c>
      <c r="W1" s="14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</row>
    <row r="2" spans="1:32" hidden="1" x14ac:dyDescent="0.3">
      <c r="A2" t="s">
        <v>30</v>
      </c>
      <c r="B2">
        <v>2013</v>
      </c>
      <c r="C2" t="s">
        <v>31</v>
      </c>
      <c r="D2" s="4">
        <v>107.5</v>
      </c>
      <c r="E2" s="4">
        <v>106.3</v>
      </c>
      <c r="F2" s="4">
        <v>108.1</v>
      </c>
      <c r="G2" s="4">
        <v>104.9</v>
      </c>
      <c r="H2" s="4">
        <v>106.1</v>
      </c>
      <c r="I2" s="4">
        <v>103.9</v>
      </c>
      <c r="J2" s="4">
        <v>101.9</v>
      </c>
      <c r="K2" s="4">
        <v>106.1</v>
      </c>
      <c r="L2" s="4">
        <v>106.8</v>
      </c>
      <c r="M2" s="4">
        <v>103.1</v>
      </c>
      <c r="N2" s="4">
        <v>104.8</v>
      </c>
      <c r="O2" s="4">
        <v>106.7</v>
      </c>
      <c r="P2" s="4">
        <v>105.5</v>
      </c>
      <c r="Q2" s="4">
        <v>105.1</v>
      </c>
      <c r="R2" s="4">
        <v>106.5</v>
      </c>
      <c r="S2" s="4">
        <v>105.8</v>
      </c>
      <c r="T2" s="4">
        <v>106.4</v>
      </c>
      <c r="U2" s="4">
        <v>100.3</v>
      </c>
      <c r="V2" s="4">
        <v>105.5</v>
      </c>
      <c r="W2" s="4">
        <v>104.8</v>
      </c>
      <c r="X2" s="4">
        <v>104</v>
      </c>
      <c r="Y2" s="4">
        <v>103.3</v>
      </c>
      <c r="Z2" s="4">
        <v>103.4</v>
      </c>
      <c r="AA2" s="4">
        <v>103.8</v>
      </c>
      <c r="AB2" s="4">
        <v>104.7</v>
      </c>
      <c r="AC2" s="4">
        <v>104</v>
      </c>
      <c r="AD2" s="4">
        <v>105.1</v>
      </c>
      <c r="AE2" s="9"/>
      <c r="AF2" s="10"/>
    </row>
    <row r="3" spans="1:32" hidden="1" x14ac:dyDescent="0.3">
      <c r="A3" t="s">
        <v>33</v>
      </c>
      <c r="B3">
        <v>2013</v>
      </c>
      <c r="C3" t="s">
        <v>31</v>
      </c>
      <c r="D3" s="4">
        <v>110.5</v>
      </c>
      <c r="E3" s="4">
        <v>109.1</v>
      </c>
      <c r="F3" s="4">
        <v>113</v>
      </c>
      <c r="G3" s="4">
        <v>103.6</v>
      </c>
      <c r="H3" s="4">
        <v>103.4</v>
      </c>
      <c r="I3" s="4">
        <v>102.3</v>
      </c>
      <c r="J3" s="4">
        <v>102.9</v>
      </c>
      <c r="K3" s="4">
        <v>105.8</v>
      </c>
      <c r="L3" s="4">
        <v>105.1</v>
      </c>
      <c r="M3" s="4">
        <v>101.8</v>
      </c>
      <c r="N3" s="4">
        <v>105.1</v>
      </c>
      <c r="O3" s="4">
        <v>107.9</v>
      </c>
      <c r="P3" s="4">
        <v>105.9</v>
      </c>
      <c r="Q3" s="4">
        <v>105.2</v>
      </c>
      <c r="R3" s="4">
        <v>105.9</v>
      </c>
      <c r="S3" s="4">
        <v>105</v>
      </c>
      <c r="T3" s="4">
        <v>105.8</v>
      </c>
      <c r="U3" s="4">
        <v>100.3</v>
      </c>
      <c r="V3" s="4">
        <v>105.4</v>
      </c>
      <c r="W3" s="4">
        <v>104.8</v>
      </c>
      <c r="X3" s="4">
        <v>104.1</v>
      </c>
      <c r="Y3" s="4">
        <v>103.2</v>
      </c>
      <c r="Z3" s="4">
        <v>102.9</v>
      </c>
      <c r="AA3" s="4">
        <v>103.5</v>
      </c>
      <c r="AB3" s="4">
        <v>104.3</v>
      </c>
      <c r="AC3" s="4">
        <v>103.7</v>
      </c>
      <c r="AD3" s="4">
        <v>104</v>
      </c>
    </row>
    <row r="4" spans="1:32" hidden="1" x14ac:dyDescent="0.3">
      <c r="A4" t="s">
        <v>34</v>
      </c>
      <c r="B4">
        <v>2013</v>
      </c>
      <c r="C4" t="s">
        <v>31</v>
      </c>
      <c r="D4" s="4">
        <v>108.4</v>
      </c>
      <c r="E4" s="4">
        <v>107.3</v>
      </c>
      <c r="F4" s="4">
        <v>110</v>
      </c>
      <c r="G4" s="4">
        <v>104.4</v>
      </c>
      <c r="H4" s="4">
        <v>105.1</v>
      </c>
      <c r="I4" s="4">
        <v>103.2</v>
      </c>
      <c r="J4" s="4">
        <v>102.2</v>
      </c>
      <c r="K4" s="4">
        <v>106</v>
      </c>
      <c r="L4" s="4">
        <v>106.2</v>
      </c>
      <c r="M4" s="4">
        <v>102.7</v>
      </c>
      <c r="N4" s="4">
        <v>104.9</v>
      </c>
      <c r="O4" s="4">
        <v>107.3</v>
      </c>
      <c r="P4" s="4">
        <v>105.6</v>
      </c>
      <c r="Q4" s="4">
        <v>105.1</v>
      </c>
      <c r="R4" s="4">
        <v>106.3</v>
      </c>
      <c r="S4" s="4">
        <v>105.5</v>
      </c>
      <c r="T4" s="4">
        <v>106.2</v>
      </c>
      <c r="U4" s="4">
        <v>100.3</v>
      </c>
      <c r="V4" s="4">
        <v>105.5</v>
      </c>
      <c r="W4" s="4">
        <v>104.8</v>
      </c>
      <c r="X4" s="4">
        <v>104</v>
      </c>
      <c r="Y4" s="4">
        <v>103.2</v>
      </c>
      <c r="Z4" s="4">
        <v>103.1</v>
      </c>
      <c r="AA4" s="4">
        <v>103.6</v>
      </c>
      <c r="AB4" s="4">
        <v>104.5</v>
      </c>
      <c r="AC4" s="4">
        <v>103.9</v>
      </c>
      <c r="AD4" s="4">
        <v>104.6</v>
      </c>
    </row>
    <row r="5" spans="1:32" hidden="1" x14ac:dyDescent="0.3">
      <c r="A5" t="s">
        <v>30</v>
      </c>
      <c r="B5">
        <v>2013</v>
      </c>
      <c r="C5" t="s">
        <v>35</v>
      </c>
      <c r="D5" s="4">
        <v>109.2</v>
      </c>
      <c r="E5" s="4">
        <v>108.7</v>
      </c>
      <c r="F5" s="4">
        <v>110.2</v>
      </c>
      <c r="G5" s="4">
        <v>105.4</v>
      </c>
      <c r="H5" s="4">
        <v>106.7</v>
      </c>
      <c r="I5" s="4">
        <v>104</v>
      </c>
      <c r="J5" s="4">
        <v>102.4</v>
      </c>
      <c r="K5" s="4">
        <v>105.9</v>
      </c>
      <c r="L5" s="4">
        <v>105.7</v>
      </c>
      <c r="M5" s="4">
        <v>103.1</v>
      </c>
      <c r="N5" s="4">
        <v>105.1</v>
      </c>
      <c r="O5" s="4">
        <v>107.7</v>
      </c>
      <c r="P5" s="4">
        <v>106.3</v>
      </c>
      <c r="Q5" s="4">
        <v>105.6</v>
      </c>
      <c r="R5" s="4">
        <v>107.1</v>
      </c>
      <c r="S5" s="4">
        <v>106.3</v>
      </c>
      <c r="T5" s="4">
        <v>107</v>
      </c>
      <c r="U5" s="4">
        <v>100.4</v>
      </c>
      <c r="V5" s="4">
        <v>106.2</v>
      </c>
      <c r="W5" s="4">
        <v>105.2</v>
      </c>
      <c r="X5" s="4">
        <v>104.4</v>
      </c>
      <c r="Y5" s="4">
        <v>103.9</v>
      </c>
      <c r="Z5" s="4">
        <v>104</v>
      </c>
      <c r="AA5" s="4">
        <v>104.1</v>
      </c>
      <c r="AB5" s="4">
        <v>104.6</v>
      </c>
      <c r="AC5" s="4">
        <v>104.4</v>
      </c>
      <c r="AD5" s="4">
        <v>105.8</v>
      </c>
    </row>
    <row r="6" spans="1:32" hidden="1" x14ac:dyDescent="0.3">
      <c r="A6" t="s">
        <v>33</v>
      </c>
      <c r="B6">
        <v>2013</v>
      </c>
      <c r="C6" t="s">
        <v>35</v>
      </c>
      <c r="D6" s="4">
        <v>112.9</v>
      </c>
      <c r="E6" s="4">
        <v>112.9</v>
      </c>
      <c r="F6" s="4">
        <v>116.9</v>
      </c>
      <c r="G6" s="4">
        <v>104</v>
      </c>
      <c r="H6" s="4">
        <v>103.5</v>
      </c>
      <c r="I6" s="4">
        <v>103.1</v>
      </c>
      <c r="J6" s="4">
        <v>104.9</v>
      </c>
      <c r="K6" s="4">
        <v>104.1</v>
      </c>
      <c r="L6" s="4">
        <v>103.8</v>
      </c>
      <c r="M6" s="4">
        <v>102.3</v>
      </c>
      <c r="N6" s="4">
        <v>106</v>
      </c>
      <c r="O6" s="4">
        <v>109</v>
      </c>
      <c r="P6" s="4">
        <v>107.2</v>
      </c>
      <c r="Q6" s="4">
        <v>106</v>
      </c>
      <c r="R6" s="4">
        <v>106.6</v>
      </c>
      <c r="S6" s="4">
        <v>105.5</v>
      </c>
      <c r="T6" s="4">
        <v>106.4</v>
      </c>
      <c r="U6" s="4">
        <v>100.4</v>
      </c>
      <c r="V6" s="4">
        <v>105.7</v>
      </c>
      <c r="W6" s="4">
        <v>105.2</v>
      </c>
      <c r="X6" s="4">
        <v>104.7</v>
      </c>
      <c r="Y6" s="4">
        <v>104.4</v>
      </c>
      <c r="Z6" s="4">
        <v>103.3</v>
      </c>
      <c r="AA6" s="4">
        <v>103.7</v>
      </c>
      <c r="AB6" s="4">
        <v>104.3</v>
      </c>
      <c r="AC6" s="4">
        <v>104.3</v>
      </c>
      <c r="AD6" s="4">
        <v>104.7</v>
      </c>
    </row>
    <row r="7" spans="1:32" hidden="1" x14ac:dyDescent="0.3">
      <c r="A7" t="s">
        <v>34</v>
      </c>
      <c r="B7">
        <v>2013</v>
      </c>
      <c r="C7" t="s">
        <v>35</v>
      </c>
      <c r="D7" s="4">
        <v>110.4</v>
      </c>
      <c r="E7" s="4">
        <v>110.2</v>
      </c>
      <c r="F7" s="4">
        <v>112.8</v>
      </c>
      <c r="G7" s="4">
        <v>104.9</v>
      </c>
      <c r="H7" s="4">
        <v>105.5</v>
      </c>
      <c r="I7" s="4">
        <v>103.6</v>
      </c>
      <c r="J7" s="4">
        <v>103.2</v>
      </c>
      <c r="K7" s="4">
        <v>105.3</v>
      </c>
      <c r="L7" s="4">
        <v>105.1</v>
      </c>
      <c r="M7" s="4">
        <v>102.8</v>
      </c>
      <c r="N7" s="4">
        <v>105.5</v>
      </c>
      <c r="O7" s="4">
        <v>108.3</v>
      </c>
      <c r="P7" s="4">
        <v>106.6</v>
      </c>
      <c r="Q7" s="4">
        <v>105.7</v>
      </c>
      <c r="R7" s="4">
        <v>106.9</v>
      </c>
      <c r="S7" s="4">
        <v>106</v>
      </c>
      <c r="T7" s="4">
        <v>106.8</v>
      </c>
      <c r="U7" s="4">
        <v>100.4</v>
      </c>
      <c r="V7" s="4">
        <v>106</v>
      </c>
      <c r="W7" s="4">
        <v>105.2</v>
      </c>
      <c r="X7" s="4">
        <v>104.5</v>
      </c>
      <c r="Y7" s="4">
        <v>104.2</v>
      </c>
      <c r="Z7" s="4">
        <v>103.6</v>
      </c>
      <c r="AA7" s="4">
        <v>103.9</v>
      </c>
      <c r="AB7" s="4">
        <v>104.5</v>
      </c>
      <c r="AC7" s="4">
        <v>104.4</v>
      </c>
      <c r="AD7" s="4">
        <v>105.3</v>
      </c>
    </row>
    <row r="8" spans="1:32" hidden="1" x14ac:dyDescent="0.3">
      <c r="A8" t="s">
        <v>30</v>
      </c>
      <c r="B8">
        <v>2013</v>
      </c>
      <c r="C8" t="s">
        <v>36</v>
      </c>
      <c r="D8" s="4">
        <v>110.2</v>
      </c>
      <c r="E8" s="4">
        <v>108.8</v>
      </c>
      <c r="F8" s="4">
        <v>109.9</v>
      </c>
      <c r="G8" s="4">
        <v>105.6</v>
      </c>
      <c r="H8" s="4">
        <v>106.2</v>
      </c>
      <c r="I8" s="4">
        <v>105.7</v>
      </c>
      <c r="J8" s="4">
        <v>101.4</v>
      </c>
      <c r="K8" s="4">
        <v>105.7</v>
      </c>
      <c r="L8" s="4">
        <v>105</v>
      </c>
      <c r="M8" s="4">
        <v>103.3</v>
      </c>
      <c r="N8" s="4">
        <v>105.6</v>
      </c>
      <c r="O8" s="4">
        <v>108.2</v>
      </c>
      <c r="P8" s="4">
        <v>106.6</v>
      </c>
      <c r="Q8" s="4">
        <v>106.5</v>
      </c>
      <c r="R8" s="4">
        <v>107.6</v>
      </c>
      <c r="S8" s="4">
        <v>106.8</v>
      </c>
      <c r="T8" s="4">
        <v>107.5</v>
      </c>
      <c r="U8" s="4">
        <v>100.4</v>
      </c>
      <c r="V8" s="4">
        <v>106.1</v>
      </c>
      <c r="W8" s="4">
        <v>105.6</v>
      </c>
      <c r="X8" s="4">
        <v>104.7</v>
      </c>
      <c r="Y8" s="4">
        <v>104.6</v>
      </c>
      <c r="Z8" s="4">
        <v>104</v>
      </c>
      <c r="AA8" s="4">
        <v>104.3</v>
      </c>
      <c r="AB8" s="4">
        <v>104.3</v>
      </c>
      <c r="AC8" s="4">
        <v>104.6</v>
      </c>
      <c r="AD8" s="4">
        <v>106</v>
      </c>
    </row>
    <row r="9" spans="1:32" hidden="1" x14ac:dyDescent="0.3">
      <c r="A9" t="s">
        <v>33</v>
      </c>
      <c r="B9">
        <v>2013</v>
      </c>
      <c r="C9" t="s">
        <v>36</v>
      </c>
      <c r="D9" s="4">
        <v>113.9</v>
      </c>
      <c r="E9" s="4">
        <v>111.4</v>
      </c>
      <c r="F9" s="4">
        <v>113.2</v>
      </c>
      <c r="G9" s="4">
        <v>104.3</v>
      </c>
      <c r="H9" s="4">
        <v>102.7</v>
      </c>
      <c r="I9" s="4">
        <v>104.9</v>
      </c>
      <c r="J9" s="4">
        <v>103.8</v>
      </c>
      <c r="K9" s="4">
        <v>103.5</v>
      </c>
      <c r="L9" s="4">
        <v>102.6</v>
      </c>
      <c r="M9" s="4">
        <v>102.4</v>
      </c>
      <c r="N9" s="4">
        <v>107</v>
      </c>
      <c r="O9" s="4">
        <v>109.8</v>
      </c>
      <c r="P9" s="4">
        <v>107.3</v>
      </c>
      <c r="Q9" s="4">
        <v>106.8</v>
      </c>
      <c r="R9" s="4">
        <v>107.2</v>
      </c>
      <c r="S9" s="4">
        <v>106</v>
      </c>
      <c r="T9" s="4">
        <v>107</v>
      </c>
      <c r="U9" s="4">
        <v>100.4</v>
      </c>
      <c r="V9" s="4">
        <v>106</v>
      </c>
      <c r="W9" s="4">
        <v>105.7</v>
      </c>
      <c r="X9" s="4">
        <v>105.2</v>
      </c>
      <c r="Y9" s="4">
        <v>105.5</v>
      </c>
      <c r="Z9" s="4">
        <v>103.5</v>
      </c>
      <c r="AA9" s="4">
        <v>103.8</v>
      </c>
      <c r="AB9" s="4">
        <v>104.2</v>
      </c>
      <c r="AC9" s="4">
        <v>104.9</v>
      </c>
      <c r="AD9" s="4">
        <v>105</v>
      </c>
    </row>
    <row r="10" spans="1:32" hidden="1" x14ac:dyDescent="0.3">
      <c r="A10" t="s">
        <v>34</v>
      </c>
      <c r="B10">
        <v>2013</v>
      </c>
      <c r="C10" t="s">
        <v>36</v>
      </c>
      <c r="D10" s="4">
        <v>111.4</v>
      </c>
      <c r="E10" s="4">
        <v>109.7</v>
      </c>
      <c r="F10" s="4">
        <v>111.2</v>
      </c>
      <c r="G10" s="4">
        <v>105.1</v>
      </c>
      <c r="H10" s="4">
        <v>104.9</v>
      </c>
      <c r="I10" s="4">
        <v>105.3</v>
      </c>
      <c r="J10" s="4">
        <v>102.2</v>
      </c>
      <c r="K10" s="4">
        <v>105</v>
      </c>
      <c r="L10" s="4">
        <v>104.2</v>
      </c>
      <c r="M10" s="4">
        <v>103</v>
      </c>
      <c r="N10" s="4">
        <v>106.2</v>
      </c>
      <c r="O10" s="4">
        <v>108.9</v>
      </c>
      <c r="P10" s="4">
        <v>106.9</v>
      </c>
      <c r="Q10" s="4">
        <v>106.6</v>
      </c>
      <c r="R10" s="4">
        <v>107.4</v>
      </c>
      <c r="S10" s="4">
        <v>106.5</v>
      </c>
      <c r="T10" s="4">
        <v>107.3</v>
      </c>
      <c r="U10" s="4">
        <v>100.4</v>
      </c>
      <c r="V10" s="4">
        <v>106.1</v>
      </c>
      <c r="W10" s="4">
        <v>105.6</v>
      </c>
      <c r="X10" s="4">
        <v>104.9</v>
      </c>
      <c r="Y10" s="4">
        <v>105.1</v>
      </c>
      <c r="Z10" s="4">
        <v>103.7</v>
      </c>
      <c r="AA10" s="4">
        <v>104</v>
      </c>
      <c r="AB10" s="4">
        <v>104.3</v>
      </c>
      <c r="AC10" s="4">
        <v>104.7</v>
      </c>
      <c r="AD10" s="4">
        <v>105.5</v>
      </c>
    </row>
    <row r="11" spans="1:32" hidden="1" x14ac:dyDescent="0.3">
      <c r="A11" t="s">
        <v>30</v>
      </c>
      <c r="B11">
        <v>2013</v>
      </c>
      <c r="C11" t="s">
        <v>37</v>
      </c>
      <c r="D11" s="4">
        <v>110.2</v>
      </c>
      <c r="E11" s="4">
        <v>109.5</v>
      </c>
      <c r="F11" s="4">
        <v>106.9</v>
      </c>
      <c r="G11" s="4">
        <v>106.3</v>
      </c>
      <c r="H11" s="4">
        <v>105.7</v>
      </c>
      <c r="I11" s="4">
        <v>108.3</v>
      </c>
      <c r="J11" s="4">
        <v>103.4</v>
      </c>
      <c r="K11" s="4">
        <v>105.7</v>
      </c>
      <c r="L11" s="4">
        <v>104.2</v>
      </c>
      <c r="M11" s="4">
        <v>103.2</v>
      </c>
      <c r="N11" s="4">
        <v>106.5</v>
      </c>
      <c r="O11" s="4">
        <v>108.8</v>
      </c>
      <c r="P11" s="4">
        <v>107.1</v>
      </c>
      <c r="Q11" s="4">
        <v>107.1</v>
      </c>
      <c r="R11" s="4">
        <v>108.1</v>
      </c>
      <c r="S11" s="4">
        <v>107.4</v>
      </c>
      <c r="T11" s="4">
        <v>108</v>
      </c>
      <c r="U11" s="4">
        <v>100.5</v>
      </c>
      <c r="V11" s="4">
        <v>106.5</v>
      </c>
      <c r="W11" s="4">
        <v>106.1</v>
      </c>
      <c r="X11" s="4">
        <v>105.1</v>
      </c>
      <c r="Y11" s="4">
        <v>104.4</v>
      </c>
      <c r="Z11" s="4">
        <v>104.5</v>
      </c>
      <c r="AA11" s="4">
        <v>104.8</v>
      </c>
      <c r="AB11" s="4">
        <v>102.7</v>
      </c>
      <c r="AC11" s="4">
        <v>104.6</v>
      </c>
      <c r="AD11" s="4">
        <v>106.4</v>
      </c>
    </row>
    <row r="12" spans="1:32" hidden="1" x14ac:dyDescent="0.3">
      <c r="A12" t="s">
        <v>33</v>
      </c>
      <c r="B12">
        <v>2013</v>
      </c>
      <c r="C12" t="s">
        <v>37</v>
      </c>
      <c r="D12" s="4">
        <v>114.6</v>
      </c>
      <c r="E12" s="4">
        <v>113.4</v>
      </c>
      <c r="F12" s="4">
        <v>106</v>
      </c>
      <c r="G12" s="4">
        <v>104.7</v>
      </c>
      <c r="H12" s="4">
        <v>102.1</v>
      </c>
      <c r="I12" s="4">
        <v>109.5</v>
      </c>
      <c r="J12" s="4">
        <v>109.7</v>
      </c>
      <c r="K12" s="4">
        <v>104.6</v>
      </c>
      <c r="L12" s="4">
        <v>102</v>
      </c>
      <c r="M12" s="4">
        <v>103.5</v>
      </c>
      <c r="N12" s="4">
        <v>108.2</v>
      </c>
      <c r="O12" s="4">
        <v>110.6</v>
      </c>
      <c r="P12" s="4">
        <v>108.8</v>
      </c>
      <c r="Q12" s="4">
        <v>108.5</v>
      </c>
      <c r="R12" s="4">
        <v>107.9</v>
      </c>
      <c r="S12" s="4">
        <v>106.4</v>
      </c>
      <c r="T12" s="4">
        <v>107.7</v>
      </c>
      <c r="U12" s="4">
        <v>100.5</v>
      </c>
      <c r="V12" s="4">
        <v>106.4</v>
      </c>
      <c r="W12" s="4">
        <v>106.5</v>
      </c>
      <c r="X12" s="4">
        <v>105.7</v>
      </c>
      <c r="Y12" s="4">
        <v>105</v>
      </c>
      <c r="Z12" s="4">
        <v>104</v>
      </c>
      <c r="AA12" s="4">
        <v>105.2</v>
      </c>
      <c r="AB12" s="4">
        <v>103.2</v>
      </c>
      <c r="AC12" s="4">
        <v>105.1</v>
      </c>
      <c r="AD12" s="4">
        <v>105.7</v>
      </c>
    </row>
    <row r="13" spans="1:32" hidden="1" x14ac:dyDescent="0.3">
      <c r="A13" t="s">
        <v>34</v>
      </c>
      <c r="B13">
        <v>2013</v>
      </c>
      <c r="C13" t="s">
        <v>37</v>
      </c>
      <c r="D13" s="4">
        <v>111.6</v>
      </c>
      <c r="E13" s="4">
        <v>110.9</v>
      </c>
      <c r="F13" s="4">
        <v>106.6</v>
      </c>
      <c r="G13" s="4">
        <v>105.7</v>
      </c>
      <c r="H13" s="4">
        <v>104.4</v>
      </c>
      <c r="I13" s="4">
        <v>108.9</v>
      </c>
      <c r="J13" s="4">
        <v>105.5</v>
      </c>
      <c r="K13" s="4">
        <v>105.3</v>
      </c>
      <c r="L13" s="4">
        <v>103.5</v>
      </c>
      <c r="M13" s="4">
        <v>103.3</v>
      </c>
      <c r="N13" s="4">
        <v>107.2</v>
      </c>
      <c r="O13" s="4">
        <v>109.6</v>
      </c>
      <c r="P13" s="4">
        <v>107.7</v>
      </c>
      <c r="Q13" s="4">
        <v>107.5</v>
      </c>
      <c r="R13" s="4">
        <v>108</v>
      </c>
      <c r="S13" s="4">
        <v>107</v>
      </c>
      <c r="T13" s="4">
        <v>107.9</v>
      </c>
      <c r="U13" s="4">
        <v>100.5</v>
      </c>
      <c r="V13" s="4">
        <v>106.5</v>
      </c>
      <c r="W13" s="4">
        <v>106.3</v>
      </c>
      <c r="X13" s="4">
        <v>105.3</v>
      </c>
      <c r="Y13" s="4">
        <v>104.7</v>
      </c>
      <c r="Z13" s="4">
        <v>104.2</v>
      </c>
      <c r="AA13" s="4">
        <v>105</v>
      </c>
      <c r="AB13" s="4">
        <v>102.9</v>
      </c>
      <c r="AC13" s="4">
        <v>104.8</v>
      </c>
      <c r="AD13" s="4">
        <v>106.1</v>
      </c>
    </row>
    <row r="14" spans="1:32" hidden="1" x14ac:dyDescent="0.3">
      <c r="A14" t="s">
        <v>30</v>
      </c>
      <c r="B14">
        <v>2013</v>
      </c>
      <c r="C14" t="s">
        <v>38</v>
      </c>
      <c r="D14" s="4">
        <v>110.9</v>
      </c>
      <c r="E14" s="4">
        <v>109.8</v>
      </c>
      <c r="F14" s="4">
        <v>105.9</v>
      </c>
      <c r="G14" s="4">
        <v>107.5</v>
      </c>
      <c r="H14" s="4">
        <v>105.3</v>
      </c>
      <c r="I14" s="4">
        <v>108.1</v>
      </c>
      <c r="J14" s="4">
        <v>107.3</v>
      </c>
      <c r="K14" s="4">
        <v>106.1</v>
      </c>
      <c r="L14" s="4">
        <v>103.7</v>
      </c>
      <c r="M14" s="4">
        <v>104</v>
      </c>
      <c r="N14" s="4">
        <v>107.4</v>
      </c>
      <c r="O14" s="4">
        <v>109.9</v>
      </c>
      <c r="P14" s="4">
        <v>108.1</v>
      </c>
      <c r="Q14" s="4">
        <v>108.1</v>
      </c>
      <c r="R14" s="4">
        <v>108.8</v>
      </c>
      <c r="S14" s="4">
        <v>107.9</v>
      </c>
      <c r="T14" s="4">
        <v>108.6</v>
      </c>
      <c r="U14" s="4">
        <v>100.5</v>
      </c>
      <c r="V14" s="4">
        <v>107.5</v>
      </c>
      <c r="W14" s="4">
        <v>106.8</v>
      </c>
      <c r="X14" s="4">
        <v>105.7</v>
      </c>
      <c r="Y14" s="4">
        <v>104.1</v>
      </c>
      <c r="Z14" s="4">
        <v>105</v>
      </c>
      <c r="AA14" s="4">
        <v>105.5</v>
      </c>
      <c r="AB14" s="4">
        <v>102.1</v>
      </c>
      <c r="AC14" s="4">
        <v>104.8</v>
      </c>
      <c r="AD14" s="4">
        <v>107.2</v>
      </c>
    </row>
    <row r="15" spans="1:32" hidden="1" x14ac:dyDescent="0.3">
      <c r="A15" t="s">
        <v>33</v>
      </c>
      <c r="B15">
        <v>2013</v>
      </c>
      <c r="C15" t="s">
        <v>38</v>
      </c>
      <c r="D15" s="4">
        <v>115.4</v>
      </c>
      <c r="E15" s="4">
        <v>114.2</v>
      </c>
      <c r="F15" s="4">
        <v>102.7</v>
      </c>
      <c r="G15" s="4">
        <v>105.5</v>
      </c>
      <c r="H15" s="4">
        <v>101.5</v>
      </c>
      <c r="I15" s="4">
        <v>110.6</v>
      </c>
      <c r="J15" s="4">
        <v>123.7</v>
      </c>
      <c r="K15" s="4">
        <v>105.2</v>
      </c>
      <c r="L15" s="4">
        <v>101.9</v>
      </c>
      <c r="M15" s="4">
        <v>105</v>
      </c>
      <c r="N15" s="4">
        <v>109.1</v>
      </c>
      <c r="O15" s="4">
        <v>111.3</v>
      </c>
      <c r="P15" s="4">
        <v>111.1</v>
      </c>
      <c r="Q15" s="4">
        <v>109.8</v>
      </c>
      <c r="R15" s="4">
        <v>108.5</v>
      </c>
      <c r="S15" s="4">
        <v>106.7</v>
      </c>
      <c r="T15" s="4">
        <v>108.3</v>
      </c>
      <c r="U15" s="4">
        <v>100.5</v>
      </c>
      <c r="V15" s="4">
        <v>107.2</v>
      </c>
      <c r="W15" s="4">
        <v>107.1</v>
      </c>
      <c r="X15" s="4">
        <v>106.2</v>
      </c>
      <c r="Y15" s="4">
        <v>103.9</v>
      </c>
      <c r="Z15" s="4">
        <v>104.6</v>
      </c>
      <c r="AA15" s="4">
        <v>105.7</v>
      </c>
      <c r="AB15" s="4">
        <v>102.6</v>
      </c>
      <c r="AC15" s="4">
        <v>104.9</v>
      </c>
      <c r="AD15" s="4">
        <v>106.6</v>
      </c>
    </row>
    <row r="16" spans="1:32" hidden="1" x14ac:dyDescent="0.3">
      <c r="A16" t="s">
        <v>34</v>
      </c>
      <c r="B16">
        <v>2013</v>
      </c>
      <c r="C16" t="s">
        <v>38</v>
      </c>
      <c r="D16" s="4">
        <v>112.3</v>
      </c>
      <c r="E16" s="4">
        <v>111.3</v>
      </c>
      <c r="F16" s="4">
        <v>104.7</v>
      </c>
      <c r="G16" s="4">
        <v>106.8</v>
      </c>
      <c r="H16" s="4">
        <v>103.9</v>
      </c>
      <c r="I16" s="4">
        <v>109.3</v>
      </c>
      <c r="J16" s="4">
        <v>112.9</v>
      </c>
      <c r="K16" s="4">
        <v>105.8</v>
      </c>
      <c r="L16" s="4">
        <v>103.1</v>
      </c>
      <c r="M16" s="4">
        <v>104.3</v>
      </c>
      <c r="N16" s="4">
        <v>108.1</v>
      </c>
      <c r="O16" s="4">
        <v>110.5</v>
      </c>
      <c r="P16" s="4">
        <v>109.2</v>
      </c>
      <c r="Q16" s="4">
        <v>108.6</v>
      </c>
      <c r="R16" s="4">
        <v>108.7</v>
      </c>
      <c r="S16" s="4">
        <v>107.4</v>
      </c>
      <c r="T16" s="4">
        <v>108.5</v>
      </c>
      <c r="U16" s="4">
        <v>100.5</v>
      </c>
      <c r="V16" s="4">
        <v>107.4</v>
      </c>
      <c r="W16" s="4">
        <v>106.9</v>
      </c>
      <c r="X16" s="4">
        <v>105.9</v>
      </c>
      <c r="Y16" s="4">
        <v>104</v>
      </c>
      <c r="Z16" s="4">
        <v>104.8</v>
      </c>
      <c r="AA16" s="4">
        <v>105.6</v>
      </c>
      <c r="AB16" s="4">
        <v>102.3</v>
      </c>
      <c r="AC16" s="4">
        <v>104.8</v>
      </c>
      <c r="AD16" s="4">
        <v>106.9</v>
      </c>
    </row>
    <row r="17" spans="1:30" hidden="1" x14ac:dyDescent="0.3">
      <c r="A17" t="s">
        <v>30</v>
      </c>
      <c r="B17">
        <v>2013</v>
      </c>
      <c r="C17" t="s">
        <v>39</v>
      </c>
      <c r="D17" s="4">
        <v>112.3</v>
      </c>
      <c r="E17" s="4">
        <v>112.1</v>
      </c>
      <c r="F17" s="4">
        <v>108.1</v>
      </c>
      <c r="G17" s="4">
        <v>108.3</v>
      </c>
      <c r="H17" s="4">
        <v>105.9</v>
      </c>
      <c r="I17" s="4">
        <v>109.2</v>
      </c>
      <c r="J17" s="4">
        <v>118</v>
      </c>
      <c r="K17" s="4">
        <v>106.8</v>
      </c>
      <c r="L17" s="4">
        <v>104.1</v>
      </c>
      <c r="M17" s="4">
        <v>105.4</v>
      </c>
      <c r="N17" s="4">
        <v>108.2</v>
      </c>
      <c r="O17" s="4">
        <v>111</v>
      </c>
      <c r="P17" s="4">
        <v>110.6</v>
      </c>
      <c r="Q17" s="4">
        <v>109</v>
      </c>
      <c r="R17" s="4">
        <v>109.7</v>
      </c>
      <c r="S17" s="4">
        <v>108.8</v>
      </c>
      <c r="T17" s="4">
        <v>109.5</v>
      </c>
      <c r="U17" s="4">
        <v>106.6</v>
      </c>
      <c r="V17" s="4">
        <v>108.5</v>
      </c>
      <c r="W17" s="4">
        <v>107.5</v>
      </c>
      <c r="X17" s="4">
        <v>106.3</v>
      </c>
      <c r="Y17" s="4">
        <v>105</v>
      </c>
      <c r="Z17" s="4">
        <v>105.6</v>
      </c>
      <c r="AA17" s="4">
        <v>106.5</v>
      </c>
      <c r="AB17" s="4">
        <v>102.5</v>
      </c>
      <c r="AC17" s="4">
        <v>105.5</v>
      </c>
      <c r="AD17" s="4">
        <v>108.9</v>
      </c>
    </row>
    <row r="18" spans="1:30" hidden="1" x14ac:dyDescent="0.3">
      <c r="A18" t="s">
        <v>33</v>
      </c>
      <c r="B18">
        <v>2013</v>
      </c>
      <c r="C18" t="s">
        <v>39</v>
      </c>
      <c r="D18" s="4">
        <v>117</v>
      </c>
      <c r="E18" s="4">
        <v>120.1</v>
      </c>
      <c r="F18" s="4">
        <v>112.5</v>
      </c>
      <c r="G18" s="4">
        <v>107.3</v>
      </c>
      <c r="H18" s="4">
        <v>101.3</v>
      </c>
      <c r="I18" s="4">
        <v>112.4</v>
      </c>
      <c r="J18" s="4">
        <v>143.6</v>
      </c>
      <c r="K18" s="4">
        <v>105.4</v>
      </c>
      <c r="L18" s="4">
        <v>101.4</v>
      </c>
      <c r="M18" s="4">
        <v>106.4</v>
      </c>
      <c r="N18" s="4">
        <v>110</v>
      </c>
      <c r="O18" s="4">
        <v>112.2</v>
      </c>
      <c r="P18" s="4">
        <v>115</v>
      </c>
      <c r="Q18" s="4">
        <v>110.9</v>
      </c>
      <c r="R18" s="4">
        <v>109.2</v>
      </c>
      <c r="S18" s="4">
        <v>107.2</v>
      </c>
      <c r="T18" s="4">
        <v>108.9</v>
      </c>
      <c r="U18" s="4">
        <v>106.6</v>
      </c>
      <c r="V18" s="4">
        <v>108</v>
      </c>
      <c r="W18" s="4">
        <v>107.7</v>
      </c>
      <c r="X18" s="4">
        <v>106.5</v>
      </c>
      <c r="Y18" s="4">
        <v>105.2</v>
      </c>
      <c r="Z18" s="4">
        <v>105.2</v>
      </c>
      <c r="AA18" s="4">
        <v>108.1</v>
      </c>
      <c r="AB18" s="4">
        <v>103.3</v>
      </c>
      <c r="AC18" s="4">
        <v>106.1</v>
      </c>
      <c r="AD18" s="4">
        <v>109.7</v>
      </c>
    </row>
    <row r="19" spans="1:30" hidden="1" x14ac:dyDescent="0.3">
      <c r="A19" t="s">
        <v>34</v>
      </c>
      <c r="B19">
        <v>2013</v>
      </c>
      <c r="C19" t="s">
        <v>39</v>
      </c>
      <c r="D19" s="4">
        <v>113.8</v>
      </c>
      <c r="E19" s="4">
        <v>114.9</v>
      </c>
      <c r="F19" s="4">
        <v>109.8</v>
      </c>
      <c r="G19" s="4">
        <v>107.9</v>
      </c>
      <c r="H19" s="4">
        <v>104.2</v>
      </c>
      <c r="I19" s="4">
        <v>110.7</v>
      </c>
      <c r="J19" s="4">
        <v>126.7</v>
      </c>
      <c r="K19" s="4">
        <v>106.3</v>
      </c>
      <c r="L19" s="4">
        <v>103.2</v>
      </c>
      <c r="M19" s="4">
        <v>105.7</v>
      </c>
      <c r="N19" s="4">
        <v>109</v>
      </c>
      <c r="O19" s="4">
        <v>111.6</v>
      </c>
      <c r="P19" s="4">
        <v>112.2</v>
      </c>
      <c r="Q19" s="4">
        <v>109.5</v>
      </c>
      <c r="R19" s="4">
        <v>109.5</v>
      </c>
      <c r="S19" s="4">
        <v>108.1</v>
      </c>
      <c r="T19" s="4">
        <v>109.3</v>
      </c>
      <c r="U19" s="4">
        <v>106.6</v>
      </c>
      <c r="V19" s="4">
        <v>108.3</v>
      </c>
      <c r="W19" s="4">
        <v>107.6</v>
      </c>
      <c r="X19" s="4">
        <v>106.4</v>
      </c>
      <c r="Y19" s="4">
        <v>105.1</v>
      </c>
      <c r="Z19" s="4">
        <v>105.4</v>
      </c>
      <c r="AA19" s="4">
        <v>107.4</v>
      </c>
      <c r="AB19" s="4">
        <v>102.8</v>
      </c>
      <c r="AC19" s="4">
        <v>105.8</v>
      </c>
      <c r="AD19" s="4">
        <v>109.3</v>
      </c>
    </row>
    <row r="20" spans="1:30" hidden="1" x14ac:dyDescent="0.3">
      <c r="A20" t="s">
        <v>30</v>
      </c>
      <c r="B20">
        <v>2013</v>
      </c>
      <c r="C20" t="s">
        <v>40</v>
      </c>
      <c r="D20" s="4">
        <v>113.4</v>
      </c>
      <c r="E20" s="4">
        <v>114.9</v>
      </c>
      <c r="F20" s="4">
        <v>110.5</v>
      </c>
      <c r="G20" s="4">
        <v>109.3</v>
      </c>
      <c r="H20" s="4">
        <v>106.2</v>
      </c>
      <c r="I20" s="4">
        <v>110.3</v>
      </c>
      <c r="J20" s="4">
        <v>129.19999999999999</v>
      </c>
      <c r="K20" s="4">
        <v>107.1</v>
      </c>
      <c r="L20" s="4">
        <v>104.3</v>
      </c>
      <c r="M20" s="4">
        <v>106.4</v>
      </c>
      <c r="N20" s="4">
        <v>109.1</v>
      </c>
      <c r="O20" s="4">
        <v>112.1</v>
      </c>
      <c r="P20" s="4">
        <v>113.1</v>
      </c>
      <c r="Q20" s="4">
        <v>109.8</v>
      </c>
      <c r="R20" s="4">
        <v>110.5</v>
      </c>
      <c r="S20" s="4">
        <v>109.5</v>
      </c>
      <c r="T20" s="4">
        <v>110.3</v>
      </c>
      <c r="U20" s="4">
        <v>107.7</v>
      </c>
      <c r="V20" s="4">
        <v>109.5</v>
      </c>
      <c r="W20" s="4">
        <v>108.3</v>
      </c>
      <c r="X20" s="4">
        <v>106.9</v>
      </c>
      <c r="Y20" s="4">
        <v>106.8</v>
      </c>
      <c r="Z20" s="4">
        <v>106.4</v>
      </c>
      <c r="AA20" s="4">
        <v>107.8</v>
      </c>
      <c r="AB20" s="4">
        <v>102.5</v>
      </c>
      <c r="AC20" s="4">
        <v>106.5</v>
      </c>
      <c r="AD20" s="4">
        <v>110.7</v>
      </c>
    </row>
    <row r="21" spans="1:30" hidden="1" x14ac:dyDescent="0.3">
      <c r="A21" t="s">
        <v>33</v>
      </c>
      <c r="B21">
        <v>2013</v>
      </c>
      <c r="C21" t="s">
        <v>40</v>
      </c>
      <c r="D21" s="4">
        <v>117.8</v>
      </c>
      <c r="E21" s="4">
        <v>119.2</v>
      </c>
      <c r="F21" s="4">
        <v>114</v>
      </c>
      <c r="G21" s="4">
        <v>108.3</v>
      </c>
      <c r="H21" s="4">
        <v>101.1</v>
      </c>
      <c r="I21" s="4">
        <v>113.2</v>
      </c>
      <c r="J21" s="4">
        <v>160.9</v>
      </c>
      <c r="K21" s="4">
        <v>105.1</v>
      </c>
      <c r="L21" s="4">
        <v>101.3</v>
      </c>
      <c r="M21" s="4">
        <v>107.5</v>
      </c>
      <c r="N21" s="4">
        <v>110.4</v>
      </c>
      <c r="O21" s="4">
        <v>113.1</v>
      </c>
      <c r="P21" s="4">
        <v>117.5</v>
      </c>
      <c r="Q21" s="4">
        <v>111.7</v>
      </c>
      <c r="R21" s="4">
        <v>109.8</v>
      </c>
      <c r="S21" s="4">
        <v>107.8</v>
      </c>
      <c r="T21" s="4">
        <v>109.5</v>
      </c>
      <c r="U21" s="4">
        <v>107.7</v>
      </c>
      <c r="V21" s="4">
        <v>108.6</v>
      </c>
      <c r="W21" s="4">
        <v>108.1</v>
      </c>
      <c r="X21" s="4">
        <v>107.1</v>
      </c>
      <c r="Y21" s="4">
        <v>107.3</v>
      </c>
      <c r="Z21" s="4">
        <v>105.9</v>
      </c>
      <c r="AA21" s="4">
        <v>110.1</v>
      </c>
      <c r="AB21" s="4">
        <v>103.2</v>
      </c>
      <c r="AC21" s="4">
        <v>107.3</v>
      </c>
      <c r="AD21" s="4">
        <v>111.4</v>
      </c>
    </row>
    <row r="22" spans="1:30" hidden="1" x14ac:dyDescent="0.3">
      <c r="A22" t="s">
        <v>34</v>
      </c>
      <c r="B22">
        <v>2013</v>
      </c>
      <c r="C22" t="s">
        <v>40</v>
      </c>
      <c r="D22" s="4">
        <v>114.8</v>
      </c>
      <c r="E22" s="4">
        <v>116.4</v>
      </c>
      <c r="F22" s="4">
        <v>111.9</v>
      </c>
      <c r="G22" s="4">
        <v>108.9</v>
      </c>
      <c r="H22" s="4">
        <v>104.3</v>
      </c>
      <c r="I22" s="4">
        <v>111.7</v>
      </c>
      <c r="J22" s="4">
        <v>140</v>
      </c>
      <c r="K22" s="4">
        <v>106.4</v>
      </c>
      <c r="L22" s="4">
        <v>103.3</v>
      </c>
      <c r="M22" s="4">
        <v>106.8</v>
      </c>
      <c r="N22" s="4">
        <v>109.6</v>
      </c>
      <c r="O22" s="4">
        <v>112.6</v>
      </c>
      <c r="P22" s="4">
        <v>114.7</v>
      </c>
      <c r="Q22" s="4">
        <v>110.3</v>
      </c>
      <c r="R22" s="4">
        <v>110.2</v>
      </c>
      <c r="S22" s="4">
        <v>108.8</v>
      </c>
      <c r="T22" s="4">
        <v>110</v>
      </c>
      <c r="U22" s="4">
        <v>107.7</v>
      </c>
      <c r="V22" s="4">
        <v>109.2</v>
      </c>
      <c r="W22" s="4">
        <v>108.2</v>
      </c>
      <c r="X22" s="4">
        <v>107</v>
      </c>
      <c r="Y22" s="4">
        <v>107.1</v>
      </c>
      <c r="Z22" s="4">
        <v>106.1</v>
      </c>
      <c r="AA22" s="4">
        <v>109.1</v>
      </c>
      <c r="AB22" s="4">
        <v>102.8</v>
      </c>
      <c r="AC22" s="4">
        <v>106.9</v>
      </c>
      <c r="AD22" s="4">
        <v>111</v>
      </c>
    </row>
    <row r="23" spans="1:30" hidden="1" x14ac:dyDescent="0.3">
      <c r="A23" t="s">
        <v>30</v>
      </c>
      <c r="B23">
        <v>2013</v>
      </c>
      <c r="C23" t="s">
        <v>41</v>
      </c>
      <c r="D23" s="4">
        <v>114.3</v>
      </c>
      <c r="E23" s="4">
        <v>115.4</v>
      </c>
      <c r="F23" s="4">
        <v>111.1</v>
      </c>
      <c r="G23" s="4">
        <v>110</v>
      </c>
      <c r="H23" s="4">
        <v>106.4</v>
      </c>
      <c r="I23" s="4">
        <v>110.8</v>
      </c>
      <c r="J23" s="4">
        <v>138.9</v>
      </c>
      <c r="K23" s="4">
        <v>107.4</v>
      </c>
      <c r="L23" s="4">
        <v>104.1</v>
      </c>
      <c r="M23" s="4">
        <v>106.9</v>
      </c>
      <c r="N23" s="4">
        <v>109.7</v>
      </c>
      <c r="O23" s="4">
        <v>112.6</v>
      </c>
      <c r="P23" s="4">
        <v>114.9</v>
      </c>
      <c r="Q23" s="4">
        <v>110.7</v>
      </c>
      <c r="R23" s="4">
        <v>111.3</v>
      </c>
      <c r="S23" s="4">
        <v>110.2</v>
      </c>
      <c r="T23" s="4">
        <v>111.1</v>
      </c>
      <c r="U23" s="4">
        <v>108.9</v>
      </c>
      <c r="V23" s="4">
        <v>109.9</v>
      </c>
      <c r="W23" s="4">
        <v>108.7</v>
      </c>
      <c r="X23" s="4">
        <v>107.5</v>
      </c>
      <c r="Y23" s="4">
        <v>107.8</v>
      </c>
      <c r="Z23" s="4">
        <v>106.8</v>
      </c>
      <c r="AA23" s="4">
        <v>108.7</v>
      </c>
      <c r="AB23" s="4">
        <v>105</v>
      </c>
      <c r="AC23" s="4">
        <v>107.5</v>
      </c>
      <c r="AD23" s="4">
        <v>112.1</v>
      </c>
    </row>
    <row r="24" spans="1:30" hidden="1" x14ac:dyDescent="0.3">
      <c r="A24" t="s">
        <v>33</v>
      </c>
      <c r="B24">
        <v>2013</v>
      </c>
      <c r="C24" t="s">
        <v>41</v>
      </c>
      <c r="D24" s="4">
        <v>118.3</v>
      </c>
      <c r="E24" s="4">
        <v>120.4</v>
      </c>
      <c r="F24" s="4">
        <v>112.7</v>
      </c>
      <c r="G24" s="4">
        <v>108.9</v>
      </c>
      <c r="H24" s="4">
        <v>101.1</v>
      </c>
      <c r="I24" s="4">
        <v>108.7</v>
      </c>
      <c r="J24" s="4">
        <v>177</v>
      </c>
      <c r="K24" s="4">
        <v>104.7</v>
      </c>
      <c r="L24" s="4">
        <v>101</v>
      </c>
      <c r="M24" s="4">
        <v>108.5</v>
      </c>
      <c r="N24" s="4">
        <v>110.9</v>
      </c>
      <c r="O24" s="4">
        <v>114.3</v>
      </c>
      <c r="P24" s="4">
        <v>119.6</v>
      </c>
      <c r="Q24" s="4">
        <v>112.4</v>
      </c>
      <c r="R24" s="4">
        <v>110.6</v>
      </c>
      <c r="S24" s="4">
        <v>108.3</v>
      </c>
      <c r="T24" s="4">
        <v>110.2</v>
      </c>
      <c r="U24" s="4">
        <v>108.9</v>
      </c>
      <c r="V24" s="4">
        <v>109.3</v>
      </c>
      <c r="W24" s="4">
        <v>108.7</v>
      </c>
      <c r="X24" s="4">
        <v>107.6</v>
      </c>
      <c r="Y24" s="4">
        <v>108.1</v>
      </c>
      <c r="Z24" s="4">
        <v>106.5</v>
      </c>
      <c r="AA24" s="4">
        <v>110.8</v>
      </c>
      <c r="AB24" s="4">
        <v>106</v>
      </c>
      <c r="AC24" s="4">
        <v>108.3</v>
      </c>
      <c r="AD24" s="4">
        <v>112.7</v>
      </c>
    </row>
    <row r="25" spans="1:30" hidden="1" x14ac:dyDescent="0.3">
      <c r="A25" t="s">
        <v>34</v>
      </c>
      <c r="B25">
        <v>2013</v>
      </c>
      <c r="C25" t="s">
        <v>41</v>
      </c>
      <c r="D25" s="4">
        <v>115.6</v>
      </c>
      <c r="E25" s="4">
        <v>117.2</v>
      </c>
      <c r="F25" s="4">
        <v>111.7</v>
      </c>
      <c r="G25" s="4">
        <v>109.6</v>
      </c>
      <c r="H25" s="4">
        <v>104.5</v>
      </c>
      <c r="I25" s="4">
        <v>109.8</v>
      </c>
      <c r="J25" s="4">
        <v>151.80000000000001</v>
      </c>
      <c r="K25" s="4">
        <v>106.5</v>
      </c>
      <c r="L25" s="4">
        <v>103.1</v>
      </c>
      <c r="M25" s="4">
        <v>107.4</v>
      </c>
      <c r="N25" s="4">
        <v>110.2</v>
      </c>
      <c r="O25" s="4">
        <v>113.4</v>
      </c>
      <c r="P25" s="4">
        <v>116.6</v>
      </c>
      <c r="Q25" s="4">
        <v>111.2</v>
      </c>
      <c r="R25" s="4">
        <v>111</v>
      </c>
      <c r="S25" s="4">
        <v>109.4</v>
      </c>
      <c r="T25" s="4">
        <v>110.7</v>
      </c>
      <c r="U25" s="4">
        <v>108.9</v>
      </c>
      <c r="V25" s="4">
        <v>109.7</v>
      </c>
      <c r="W25" s="4">
        <v>108.7</v>
      </c>
      <c r="X25" s="4">
        <v>107.5</v>
      </c>
      <c r="Y25" s="4">
        <v>108</v>
      </c>
      <c r="Z25" s="4">
        <v>106.6</v>
      </c>
      <c r="AA25" s="4">
        <v>109.9</v>
      </c>
      <c r="AB25" s="4">
        <v>105.4</v>
      </c>
      <c r="AC25" s="4">
        <v>107.9</v>
      </c>
      <c r="AD25" s="4">
        <v>112.4</v>
      </c>
    </row>
    <row r="26" spans="1:30" hidden="1" x14ac:dyDescent="0.3">
      <c r="A26" t="s">
        <v>30</v>
      </c>
      <c r="B26">
        <v>2013</v>
      </c>
      <c r="C26" t="s">
        <v>42</v>
      </c>
      <c r="D26" s="4">
        <v>115.4</v>
      </c>
      <c r="E26" s="4">
        <v>115.7</v>
      </c>
      <c r="F26" s="4">
        <v>111.7</v>
      </c>
      <c r="G26" s="4">
        <v>111</v>
      </c>
      <c r="H26" s="4">
        <v>107.4</v>
      </c>
      <c r="I26" s="4">
        <v>110.9</v>
      </c>
      <c r="J26" s="4">
        <v>154</v>
      </c>
      <c r="K26" s="4">
        <v>108.1</v>
      </c>
      <c r="L26" s="4">
        <v>104.2</v>
      </c>
      <c r="M26" s="4">
        <v>107.9</v>
      </c>
      <c r="N26" s="4">
        <v>110.4</v>
      </c>
      <c r="O26" s="4">
        <v>114</v>
      </c>
      <c r="P26" s="4">
        <v>117.8</v>
      </c>
      <c r="Q26" s="4">
        <v>111.7</v>
      </c>
      <c r="R26" s="4">
        <v>112.7</v>
      </c>
      <c r="S26" s="4">
        <v>111.4</v>
      </c>
      <c r="T26" s="4">
        <v>112.5</v>
      </c>
      <c r="U26" s="4">
        <v>109.7</v>
      </c>
      <c r="V26" s="4">
        <v>111.1</v>
      </c>
      <c r="W26" s="4">
        <v>109.6</v>
      </c>
      <c r="X26" s="4">
        <v>108.3</v>
      </c>
      <c r="Y26" s="4">
        <v>109.3</v>
      </c>
      <c r="Z26" s="4">
        <v>107.7</v>
      </c>
      <c r="AA26" s="4">
        <v>109.8</v>
      </c>
      <c r="AB26" s="4">
        <v>106.7</v>
      </c>
      <c r="AC26" s="4">
        <v>108.7</v>
      </c>
      <c r="AD26" s="4">
        <v>114.2</v>
      </c>
    </row>
    <row r="27" spans="1:30" hidden="1" x14ac:dyDescent="0.3">
      <c r="A27" t="s">
        <v>33</v>
      </c>
      <c r="B27">
        <v>2013</v>
      </c>
      <c r="C27" t="s">
        <v>42</v>
      </c>
      <c r="D27" s="4">
        <v>118.6</v>
      </c>
      <c r="E27" s="4">
        <v>119.1</v>
      </c>
      <c r="F27" s="4">
        <v>113.2</v>
      </c>
      <c r="G27" s="4">
        <v>109.6</v>
      </c>
      <c r="H27" s="4">
        <v>101.7</v>
      </c>
      <c r="I27" s="4">
        <v>103.2</v>
      </c>
      <c r="J27" s="4">
        <v>174.3</v>
      </c>
      <c r="K27" s="4">
        <v>105.1</v>
      </c>
      <c r="L27" s="4">
        <v>100.8</v>
      </c>
      <c r="M27" s="4">
        <v>109.1</v>
      </c>
      <c r="N27" s="4">
        <v>111.1</v>
      </c>
      <c r="O27" s="4">
        <v>115.4</v>
      </c>
      <c r="P27" s="4">
        <v>119.2</v>
      </c>
      <c r="Q27" s="4">
        <v>112.9</v>
      </c>
      <c r="R27" s="4">
        <v>111.4</v>
      </c>
      <c r="S27" s="4">
        <v>109</v>
      </c>
      <c r="T27" s="4">
        <v>111.1</v>
      </c>
      <c r="U27" s="4">
        <v>109.7</v>
      </c>
      <c r="V27" s="4">
        <v>109.5</v>
      </c>
      <c r="W27" s="4">
        <v>109.6</v>
      </c>
      <c r="X27" s="4">
        <v>107.9</v>
      </c>
      <c r="Y27" s="4">
        <v>110.4</v>
      </c>
      <c r="Z27" s="4">
        <v>107.4</v>
      </c>
      <c r="AA27" s="4">
        <v>111.2</v>
      </c>
      <c r="AB27" s="4">
        <v>106.9</v>
      </c>
      <c r="AC27" s="4">
        <v>109.4</v>
      </c>
      <c r="AD27" s="4">
        <v>113.2</v>
      </c>
    </row>
    <row r="28" spans="1:30" hidden="1" x14ac:dyDescent="0.3">
      <c r="A28" t="s">
        <v>34</v>
      </c>
      <c r="B28">
        <v>2013</v>
      </c>
      <c r="C28" t="s">
        <v>42</v>
      </c>
      <c r="D28" s="4">
        <v>116.4</v>
      </c>
      <c r="E28" s="4">
        <v>116.9</v>
      </c>
      <c r="F28" s="4">
        <v>112.3</v>
      </c>
      <c r="G28" s="4">
        <v>110.5</v>
      </c>
      <c r="H28" s="4">
        <v>105.3</v>
      </c>
      <c r="I28" s="4">
        <v>107.3</v>
      </c>
      <c r="J28" s="4">
        <v>160.9</v>
      </c>
      <c r="K28" s="4">
        <v>107.1</v>
      </c>
      <c r="L28" s="4">
        <v>103.1</v>
      </c>
      <c r="M28" s="4">
        <v>108.3</v>
      </c>
      <c r="N28" s="4">
        <v>110.7</v>
      </c>
      <c r="O28" s="4">
        <v>114.6</v>
      </c>
      <c r="P28" s="4">
        <v>118.3</v>
      </c>
      <c r="Q28" s="4">
        <v>112</v>
      </c>
      <c r="R28" s="4">
        <v>112.2</v>
      </c>
      <c r="S28" s="4">
        <v>110.4</v>
      </c>
      <c r="T28" s="4">
        <v>111.9</v>
      </c>
      <c r="U28" s="4">
        <v>109.7</v>
      </c>
      <c r="V28" s="4">
        <v>110.5</v>
      </c>
      <c r="W28" s="4">
        <v>109.6</v>
      </c>
      <c r="X28" s="4">
        <v>108.1</v>
      </c>
      <c r="Y28" s="4">
        <v>109.9</v>
      </c>
      <c r="Z28" s="4">
        <v>107.5</v>
      </c>
      <c r="AA28" s="4">
        <v>110.6</v>
      </c>
      <c r="AB28" s="4">
        <v>106.8</v>
      </c>
      <c r="AC28" s="4">
        <v>109</v>
      </c>
      <c r="AD28" s="4">
        <v>113.7</v>
      </c>
    </row>
    <row r="29" spans="1:30" hidden="1" x14ac:dyDescent="0.3">
      <c r="A29" t="s">
        <v>30</v>
      </c>
      <c r="B29">
        <v>2013</v>
      </c>
      <c r="C29" t="s">
        <v>43</v>
      </c>
      <c r="D29" s="4">
        <v>116.3</v>
      </c>
      <c r="E29" s="4">
        <v>115.4</v>
      </c>
      <c r="F29" s="4">
        <v>112.6</v>
      </c>
      <c r="G29" s="4">
        <v>111.7</v>
      </c>
      <c r="H29" s="4">
        <v>107.7</v>
      </c>
      <c r="I29" s="4">
        <v>113.2</v>
      </c>
      <c r="J29" s="4">
        <v>164.9</v>
      </c>
      <c r="K29" s="4">
        <v>108.3</v>
      </c>
      <c r="L29" s="4">
        <v>103.9</v>
      </c>
      <c r="M29" s="4">
        <v>108.2</v>
      </c>
      <c r="N29" s="4">
        <v>111.1</v>
      </c>
      <c r="O29" s="4">
        <v>114.9</v>
      </c>
      <c r="P29" s="4">
        <v>119.8</v>
      </c>
      <c r="Q29" s="4">
        <v>112.2</v>
      </c>
      <c r="R29" s="4">
        <v>113.6</v>
      </c>
      <c r="S29" s="4">
        <v>112.3</v>
      </c>
      <c r="T29" s="4">
        <v>113.4</v>
      </c>
      <c r="U29" s="4">
        <v>110.5</v>
      </c>
      <c r="V29" s="4">
        <v>111.6</v>
      </c>
      <c r="W29" s="4">
        <v>110.4</v>
      </c>
      <c r="X29" s="4">
        <v>108.9</v>
      </c>
      <c r="Y29" s="4">
        <v>109.3</v>
      </c>
      <c r="Z29" s="4">
        <v>108.3</v>
      </c>
      <c r="AA29" s="4">
        <v>110.2</v>
      </c>
      <c r="AB29" s="4">
        <v>107.5</v>
      </c>
      <c r="AC29" s="4">
        <v>109.1</v>
      </c>
      <c r="AD29" s="4">
        <v>115.5</v>
      </c>
    </row>
    <row r="30" spans="1:30" hidden="1" x14ac:dyDescent="0.3">
      <c r="A30" t="s">
        <v>33</v>
      </c>
      <c r="B30">
        <v>2013</v>
      </c>
      <c r="C30" t="s">
        <v>43</v>
      </c>
      <c r="D30" s="4">
        <v>118.9</v>
      </c>
      <c r="E30" s="4">
        <v>118.1</v>
      </c>
      <c r="F30" s="4">
        <v>114.5</v>
      </c>
      <c r="G30" s="4">
        <v>110.4</v>
      </c>
      <c r="H30" s="4">
        <v>102.3</v>
      </c>
      <c r="I30" s="4">
        <v>106.2</v>
      </c>
      <c r="J30" s="4">
        <v>183.5</v>
      </c>
      <c r="K30" s="4">
        <v>105.3</v>
      </c>
      <c r="L30" s="4">
        <v>100.2</v>
      </c>
      <c r="M30" s="4">
        <v>109.6</v>
      </c>
      <c r="N30" s="4">
        <v>111.4</v>
      </c>
      <c r="O30" s="4">
        <v>116</v>
      </c>
      <c r="P30" s="4">
        <v>120.8</v>
      </c>
      <c r="Q30" s="4">
        <v>113.5</v>
      </c>
      <c r="R30" s="4">
        <v>112.5</v>
      </c>
      <c r="S30" s="4">
        <v>109.7</v>
      </c>
      <c r="T30" s="4">
        <v>112</v>
      </c>
      <c r="U30" s="4">
        <v>110.5</v>
      </c>
      <c r="V30" s="4">
        <v>109.7</v>
      </c>
      <c r="W30" s="4">
        <v>110.2</v>
      </c>
      <c r="X30" s="4">
        <v>108.2</v>
      </c>
      <c r="Y30" s="4">
        <v>109.7</v>
      </c>
      <c r="Z30" s="4">
        <v>108</v>
      </c>
      <c r="AA30" s="4">
        <v>111.3</v>
      </c>
      <c r="AB30" s="4">
        <v>107.3</v>
      </c>
      <c r="AC30" s="4">
        <v>109.4</v>
      </c>
      <c r="AD30" s="4">
        <v>114</v>
      </c>
    </row>
    <row r="31" spans="1:30" hidden="1" x14ac:dyDescent="0.3">
      <c r="A31" t="s">
        <v>34</v>
      </c>
      <c r="B31">
        <v>2013</v>
      </c>
      <c r="C31" t="s">
        <v>43</v>
      </c>
      <c r="D31" s="4">
        <v>117.1</v>
      </c>
      <c r="E31" s="4">
        <v>116.3</v>
      </c>
      <c r="F31" s="4">
        <v>113.3</v>
      </c>
      <c r="G31" s="4">
        <v>111.2</v>
      </c>
      <c r="H31" s="4">
        <v>105.7</v>
      </c>
      <c r="I31" s="4">
        <v>109.9</v>
      </c>
      <c r="J31" s="4">
        <v>171.2</v>
      </c>
      <c r="K31" s="4">
        <v>107.3</v>
      </c>
      <c r="L31" s="4">
        <v>102.7</v>
      </c>
      <c r="M31" s="4">
        <v>108.7</v>
      </c>
      <c r="N31" s="4">
        <v>111.2</v>
      </c>
      <c r="O31" s="4">
        <v>115.4</v>
      </c>
      <c r="P31" s="4">
        <v>120.2</v>
      </c>
      <c r="Q31" s="4">
        <v>112.5</v>
      </c>
      <c r="R31" s="4">
        <v>113.2</v>
      </c>
      <c r="S31" s="4">
        <v>111.2</v>
      </c>
      <c r="T31" s="4">
        <v>112.8</v>
      </c>
      <c r="U31" s="4">
        <v>110.5</v>
      </c>
      <c r="V31" s="4">
        <v>110.9</v>
      </c>
      <c r="W31" s="4">
        <v>110.3</v>
      </c>
      <c r="X31" s="4">
        <v>108.6</v>
      </c>
      <c r="Y31" s="4">
        <v>109.5</v>
      </c>
      <c r="Z31" s="4">
        <v>108.1</v>
      </c>
      <c r="AA31" s="4">
        <v>110.8</v>
      </c>
      <c r="AB31" s="4">
        <v>107.4</v>
      </c>
      <c r="AC31" s="4">
        <v>109.2</v>
      </c>
      <c r="AD31" s="4">
        <v>114.8</v>
      </c>
    </row>
    <row r="32" spans="1:30" hidden="1" x14ac:dyDescent="0.3">
      <c r="A32" t="s">
        <v>30</v>
      </c>
      <c r="B32">
        <v>2013</v>
      </c>
      <c r="C32" t="s">
        <v>44</v>
      </c>
      <c r="D32" s="4">
        <v>117.3</v>
      </c>
      <c r="E32" s="4">
        <v>114.9</v>
      </c>
      <c r="F32" s="4">
        <v>116.2</v>
      </c>
      <c r="G32" s="4">
        <v>112.8</v>
      </c>
      <c r="H32" s="4">
        <v>108.9</v>
      </c>
      <c r="I32" s="4">
        <v>116.6</v>
      </c>
      <c r="J32" s="4">
        <v>178.1</v>
      </c>
      <c r="K32" s="4">
        <v>109.1</v>
      </c>
      <c r="L32" s="4">
        <v>103.6</v>
      </c>
      <c r="M32" s="4">
        <v>109</v>
      </c>
      <c r="N32" s="4">
        <v>111.8</v>
      </c>
      <c r="O32" s="4">
        <v>116</v>
      </c>
      <c r="P32" s="4">
        <v>122.5</v>
      </c>
      <c r="Q32" s="4">
        <v>112.8</v>
      </c>
      <c r="R32" s="4">
        <v>114.6</v>
      </c>
      <c r="S32" s="4">
        <v>113.1</v>
      </c>
      <c r="T32" s="4">
        <v>114.4</v>
      </c>
      <c r="U32" s="4">
        <v>111.1</v>
      </c>
      <c r="V32" s="4">
        <v>112.6</v>
      </c>
      <c r="W32" s="4">
        <v>111.3</v>
      </c>
      <c r="X32" s="4">
        <v>109.7</v>
      </c>
      <c r="Y32" s="4">
        <v>109.6</v>
      </c>
      <c r="Z32" s="4">
        <v>108.7</v>
      </c>
      <c r="AA32" s="4">
        <v>111</v>
      </c>
      <c r="AB32" s="4">
        <v>108.2</v>
      </c>
      <c r="AC32" s="4">
        <v>109.8</v>
      </c>
      <c r="AD32" s="4">
        <v>117.4</v>
      </c>
    </row>
    <row r="33" spans="1:30" hidden="1" x14ac:dyDescent="0.3">
      <c r="A33" t="s">
        <v>33</v>
      </c>
      <c r="B33">
        <v>2013</v>
      </c>
      <c r="C33" t="s">
        <v>45</v>
      </c>
      <c r="D33" s="4">
        <v>119.8</v>
      </c>
      <c r="E33" s="4">
        <v>116.3</v>
      </c>
      <c r="F33" s="4">
        <v>122.6</v>
      </c>
      <c r="G33" s="4">
        <v>112</v>
      </c>
      <c r="H33" s="4">
        <v>103.2</v>
      </c>
      <c r="I33" s="4">
        <v>110</v>
      </c>
      <c r="J33" s="4">
        <v>192.8</v>
      </c>
      <c r="K33" s="4">
        <v>106.3</v>
      </c>
      <c r="L33" s="4">
        <v>99.5</v>
      </c>
      <c r="M33" s="4">
        <v>110.3</v>
      </c>
      <c r="N33" s="4">
        <v>111.8</v>
      </c>
      <c r="O33" s="4">
        <v>117.1</v>
      </c>
      <c r="P33" s="4">
        <v>122.9</v>
      </c>
      <c r="Q33" s="4">
        <v>114.1</v>
      </c>
      <c r="R33" s="4">
        <v>113.5</v>
      </c>
      <c r="S33" s="4">
        <v>110.3</v>
      </c>
      <c r="T33" s="4">
        <v>113</v>
      </c>
      <c r="U33" s="4">
        <v>111.1</v>
      </c>
      <c r="V33" s="4">
        <v>110</v>
      </c>
      <c r="W33" s="4">
        <v>110.9</v>
      </c>
      <c r="X33" s="4">
        <v>108.6</v>
      </c>
      <c r="Y33" s="4">
        <v>109.5</v>
      </c>
      <c r="Z33" s="4">
        <v>108.5</v>
      </c>
      <c r="AA33" s="4">
        <v>111.3</v>
      </c>
      <c r="AB33" s="4">
        <v>107.9</v>
      </c>
      <c r="AC33" s="4">
        <v>109.6</v>
      </c>
      <c r="AD33" s="4">
        <v>115</v>
      </c>
    </row>
    <row r="34" spans="1:30" hidden="1" x14ac:dyDescent="0.3">
      <c r="A34" t="s">
        <v>34</v>
      </c>
      <c r="B34">
        <v>2013</v>
      </c>
      <c r="C34" t="s">
        <v>45</v>
      </c>
      <c r="D34" s="4">
        <v>118.1</v>
      </c>
      <c r="E34" s="4">
        <v>115.4</v>
      </c>
      <c r="F34" s="4">
        <v>118.7</v>
      </c>
      <c r="G34" s="4">
        <v>112.5</v>
      </c>
      <c r="H34" s="4">
        <v>106.8</v>
      </c>
      <c r="I34" s="4">
        <v>113.5</v>
      </c>
      <c r="J34" s="4">
        <v>183.1</v>
      </c>
      <c r="K34" s="4">
        <v>108.2</v>
      </c>
      <c r="L34" s="4">
        <v>102.2</v>
      </c>
      <c r="M34" s="4">
        <v>109.4</v>
      </c>
      <c r="N34" s="4">
        <v>111.8</v>
      </c>
      <c r="O34" s="4">
        <v>116.5</v>
      </c>
      <c r="P34" s="4">
        <v>122.6</v>
      </c>
      <c r="Q34" s="4">
        <v>113.1</v>
      </c>
      <c r="R34" s="4">
        <v>114.2</v>
      </c>
      <c r="S34" s="4">
        <v>111.9</v>
      </c>
      <c r="T34" s="4">
        <v>113.8</v>
      </c>
      <c r="U34" s="4">
        <v>111.1</v>
      </c>
      <c r="V34" s="4">
        <v>111.6</v>
      </c>
      <c r="W34" s="4">
        <v>111.1</v>
      </c>
      <c r="X34" s="4">
        <v>109.3</v>
      </c>
      <c r="Y34" s="4">
        <v>109.5</v>
      </c>
      <c r="Z34" s="4">
        <v>108.6</v>
      </c>
      <c r="AA34" s="4">
        <v>111.2</v>
      </c>
      <c r="AB34" s="4">
        <v>108.1</v>
      </c>
      <c r="AC34" s="4">
        <v>109.7</v>
      </c>
      <c r="AD34" s="4">
        <v>116.3</v>
      </c>
    </row>
    <row r="35" spans="1:30" hidden="1" x14ac:dyDescent="0.3">
      <c r="A35" t="s">
        <v>30</v>
      </c>
      <c r="B35">
        <v>2013</v>
      </c>
      <c r="C35" t="s">
        <v>46</v>
      </c>
      <c r="D35" s="4">
        <v>118.4</v>
      </c>
      <c r="E35" s="4">
        <v>115.9</v>
      </c>
      <c r="F35" s="4">
        <v>120.4</v>
      </c>
      <c r="G35" s="4">
        <v>113.8</v>
      </c>
      <c r="H35" s="4">
        <v>109.5</v>
      </c>
      <c r="I35" s="4">
        <v>115.5</v>
      </c>
      <c r="J35" s="4">
        <v>145.69999999999999</v>
      </c>
      <c r="K35" s="4">
        <v>109.5</v>
      </c>
      <c r="L35" s="4">
        <v>102.9</v>
      </c>
      <c r="M35" s="4">
        <v>109.8</v>
      </c>
      <c r="N35" s="4">
        <v>112.1</v>
      </c>
      <c r="O35" s="4">
        <v>116.8</v>
      </c>
      <c r="P35" s="4">
        <v>118.7</v>
      </c>
      <c r="Q35" s="4">
        <v>113.6</v>
      </c>
      <c r="R35" s="4">
        <v>115.8</v>
      </c>
      <c r="S35" s="4">
        <v>114</v>
      </c>
      <c r="T35" s="4">
        <v>115.5</v>
      </c>
      <c r="U35" s="4">
        <v>110.7</v>
      </c>
      <c r="V35" s="4">
        <v>112.8</v>
      </c>
      <c r="W35" s="4">
        <v>112.1</v>
      </c>
      <c r="X35" s="4">
        <v>110.1</v>
      </c>
      <c r="Y35" s="4">
        <v>109.9</v>
      </c>
      <c r="Z35" s="4">
        <v>109.2</v>
      </c>
      <c r="AA35" s="4">
        <v>111.6</v>
      </c>
      <c r="AB35" s="4">
        <v>108.1</v>
      </c>
      <c r="AC35" s="4">
        <v>110.1</v>
      </c>
      <c r="AD35" s="4">
        <v>115.5</v>
      </c>
    </row>
    <row r="36" spans="1:30" hidden="1" x14ac:dyDescent="0.3">
      <c r="A36" t="s">
        <v>33</v>
      </c>
      <c r="B36">
        <v>2013</v>
      </c>
      <c r="C36" t="s">
        <v>46</v>
      </c>
      <c r="D36" s="4">
        <v>120.5</v>
      </c>
      <c r="E36" s="4">
        <v>118.1</v>
      </c>
      <c r="F36" s="4">
        <v>128.5</v>
      </c>
      <c r="G36" s="4">
        <v>112.8</v>
      </c>
      <c r="H36" s="4">
        <v>103.4</v>
      </c>
      <c r="I36" s="4">
        <v>110.7</v>
      </c>
      <c r="J36" s="4">
        <v>144.80000000000001</v>
      </c>
      <c r="K36" s="4">
        <v>107.1</v>
      </c>
      <c r="L36" s="4">
        <v>98.6</v>
      </c>
      <c r="M36" s="4">
        <v>111.9</v>
      </c>
      <c r="N36" s="4">
        <v>112.1</v>
      </c>
      <c r="O36" s="4">
        <v>118.1</v>
      </c>
      <c r="P36" s="4">
        <v>117.8</v>
      </c>
      <c r="Q36" s="4">
        <v>115</v>
      </c>
      <c r="R36" s="4">
        <v>114.2</v>
      </c>
      <c r="S36" s="4">
        <v>110.9</v>
      </c>
      <c r="T36" s="4">
        <v>113.7</v>
      </c>
      <c r="U36" s="4">
        <v>110.7</v>
      </c>
      <c r="V36" s="4">
        <v>110.4</v>
      </c>
      <c r="W36" s="4">
        <v>111.3</v>
      </c>
      <c r="X36" s="4">
        <v>109</v>
      </c>
      <c r="Y36" s="4">
        <v>109.7</v>
      </c>
      <c r="Z36" s="4">
        <v>108.9</v>
      </c>
      <c r="AA36" s="4">
        <v>111.4</v>
      </c>
      <c r="AB36" s="4">
        <v>107.7</v>
      </c>
      <c r="AC36" s="4">
        <v>109.8</v>
      </c>
      <c r="AD36" s="4">
        <v>113.3</v>
      </c>
    </row>
    <row r="37" spans="1:30" hidden="1" x14ac:dyDescent="0.3">
      <c r="A37" t="s">
        <v>34</v>
      </c>
      <c r="B37">
        <v>2013</v>
      </c>
      <c r="C37" t="s">
        <v>46</v>
      </c>
      <c r="D37" s="4">
        <v>119.1</v>
      </c>
      <c r="E37" s="4">
        <v>116.7</v>
      </c>
      <c r="F37" s="4">
        <v>123.5</v>
      </c>
      <c r="G37" s="4">
        <v>113.4</v>
      </c>
      <c r="H37" s="4">
        <v>107.3</v>
      </c>
      <c r="I37" s="4">
        <v>113.3</v>
      </c>
      <c r="J37" s="4">
        <v>145.4</v>
      </c>
      <c r="K37" s="4">
        <v>108.7</v>
      </c>
      <c r="L37" s="4">
        <v>101.5</v>
      </c>
      <c r="M37" s="4">
        <v>110.5</v>
      </c>
      <c r="N37" s="4">
        <v>112.1</v>
      </c>
      <c r="O37" s="4">
        <v>117.4</v>
      </c>
      <c r="P37" s="4">
        <v>118.4</v>
      </c>
      <c r="Q37" s="4">
        <v>114</v>
      </c>
      <c r="R37" s="4">
        <v>115.2</v>
      </c>
      <c r="S37" s="4">
        <v>112.7</v>
      </c>
      <c r="T37" s="4">
        <v>114.8</v>
      </c>
      <c r="U37" s="4">
        <v>110.7</v>
      </c>
      <c r="V37" s="4">
        <v>111.9</v>
      </c>
      <c r="W37" s="4">
        <v>111.7</v>
      </c>
      <c r="X37" s="4">
        <v>109.7</v>
      </c>
      <c r="Y37" s="4">
        <v>109.8</v>
      </c>
      <c r="Z37" s="4">
        <v>109</v>
      </c>
      <c r="AA37" s="4">
        <v>111.5</v>
      </c>
      <c r="AB37" s="4">
        <v>107.9</v>
      </c>
      <c r="AC37" s="4">
        <v>110</v>
      </c>
      <c r="AD37" s="4">
        <v>114.5</v>
      </c>
    </row>
    <row r="38" spans="1:30" hidden="1" x14ac:dyDescent="0.3">
      <c r="A38" t="s">
        <v>30</v>
      </c>
      <c r="B38">
        <v>2014</v>
      </c>
      <c r="C38" t="s">
        <v>31</v>
      </c>
      <c r="D38" s="4">
        <v>118.9</v>
      </c>
      <c r="E38" s="4">
        <v>117.1</v>
      </c>
      <c r="F38" s="4">
        <v>120.5</v>
      </c>
      <c r="G38" s="4">
        <v>114.4</v>
      </c>
      <c r="H38" s="4">
        <v>109</v>
      </c>
      <c r="I38" s="4">
        <v>115.5</v>
      </c>
      <c r="J38" s="4">
        <v>123.9</v>
      </c>
      <c r="K38" s="4">
        <v>109.6</v>
      </c>
      <c r="L38" s="4">
        <v>101.8</v>
      </c>
      <c r="M38" s="4">
        <v>110.2</v>
      </c>
      <c r="N38" s="4">
        <v>112.4</v>
      </c>
      <c r="O38" s="4">
        <v>117.3</v>
      </c>
      <c r="P38" s="4">
        <v>116</v>
      </c>
      <c r="Q38" s="4">
        <v>114</v>
      </c>
      <c r="R38" s="4">
        <v>116.5</v>
      </c>
      <c r="S38" s="4">
        <v>114.5</v>
      </c>
      <c r="T38" s="4">
        <v>116.2</v>
      </c>
      <c r="U38" s="4">
        <v>111.6</v>
      </c>
      <c r="V38" s="4">
        <v>113</v>
      </c>
      <c r="W38" s="4">
        <v>112.6</v>
      </c>
      <c r="X38" s="4">
        <v>110.6</v>
      </c>
      <c r="Y38" s="4">
        <v>110.5</v>
      </c>
      <c r="Z38" s="4">
        <v>109.6</v>
      </c>
      <c r="AA38" s="4">
        <v>111.8</v>
      </c>
      <c r="AB38" s="4">
        <v>108.3</v>
      </c>
      <c r="AC38" s="4">
        <v>110.6</v>
      </c>
      <c r="AD38" s="4">
        <v>114.2</v>
      </c>
    </row>
    <row r="39" spans="1:30" hidden="1" x14ac:dyDescent="0.3">
      <c r="A39" t="s">
        <v>33</v>
      </c>
      <c r="B39">
        <v>2014</v>
      </c>
      <c r="C39" t="s">
        <v>31</v>
      </c>
      <c r="D39" s="4">
        <v>121.2</v>
      </c>
      <c r="E39" s="4">
        <v>122</v>
      </c>
      <c r="F39" s="4">
        <v>129.9</v>
      </c>
      <c r="G39" s="4">
        <v>113.6</v>
      </c>
      <c r="H39" s="4">
        <v>102.9</v>
      </c>
      <c r="I39" s="4">
        <v>112.1</v>
      </c>
      <c r="J39" s="4">
        <v>118.9</v>
      </c>
      <c r="K39" s="4">
        <v>107.5</v>
      </c>
      <c r="L39" s="4">
        <v>96.9</v>
      </c>
      <c r="M39" s="4">
        <v>112.7</v>
      </c>
      <c r="N39" s="4">
        <v>112.1</v>
      </c>
      <c r="O39" s="4">
        <v>119</v>
      </c>
      <c r="P39" s="4">
        <v>115.5</v>
      </c>
      <c r="Q39" s="4">
        <v>115.7</v>
      </c>
      <c r="R39" s="4">
        <v>114.8</v>
      </c>
      <c r="S39" s="4">
        <v>111.3</v>
      </c>
      <c r="T39" s="4">
        <v>114.3</v>
      </c>
      <c r="U39" s="4">
        <v>111.6</v>
      </c>
      <c r="V39" s="4">
        <v>111</v>
      </c>
      <c r="W39" s="4">
        <v>111.9</v>
      </c>
      <c r="X39" s="4">
        <v>109.7</v>
      </c>
      <c r="Y39" s="4">
        <v>110.8</v>
      </c>
      <c r="Z39" s="4">
        <v>109.8</v>
      </c>
      <c r="AA39" s="4">
        <v>111.5</v>
      </c>
      <c r="AB39" s="4">
        <v>108</v>
      </c>
      <c r="AC39" s="4">
        <v>110.5</v>
      </c>
      <c r="AD39" s="4">
        <v>112.9</v>
      </c>
    </row>
    <row r="40" spans="1:30" hidden="1" x14ac:dyDescent="0.3">
      <c r="A40" t="s">
        <v>34</v>
      </c>
      <c r="B40">
        <v>2014</v>
      </c>
      <c r="C40" t="s">
        <v>31</v>
      </c>
      <c r="D40" s="4">
        <v>119.6</v>
      </c>
      <c r="E40" s="4">
        <v>118.8</v>
      </c>
      <c r="F40" s="4">
        <v>124.1</v>
      </c>
      <c r="G40" s="4">
        <v>114.1</v>
      </c>
      <c r="H40" s="4">
        <v>106.8</v>
      </c>
      <c r="I40" s="4">
        <v>113.9</v>
      </c>
      <c r="J40" s="4">
        <v>122.2</v>
      </c>
      <c r="K40" s="4">
        <v>108.9</v>
      </c>
      <c r="L40" s="4">
        <v>100.2</v>
      </c>
      <c r="M40" s="4">
        <v>111</v>
      </c>
      <c r="N40" s="4">
        <v>112.3</v>
      </c>
      <c r="O40" s="4">
        <v>118.1</v>
      </c>
      <c r="P40" s="4">
        <v>115.8</v>
      </c>
      <c r="Q40" s="4">
        <v>114.5</v>
      </c>
      <c r="R40" s="4">
        <v>115.8</v>
      </c>
      <c r="S40" s="4">
        <v>113.2</v>
      </c>
      <c r="T40" s="4">
        <v>115.4</v>
      </c>
      <c r="U40" s="4">
        <v>111.6</v>
      </c>
      <c r="V40" s="4">
        <v>112.2</v>
      </c>
      <c r="W40" s="4">
        <v>112.3</v>
      </c>
      <c r="X40" s="4">
        <v>110.3</v>
      </c>
      <c r="Y40" s="4">
        <v>110.7</v>
      </c>
      <c r="Z40" s="4">
        <v>109.7</v>
      </c>
      <c r="AA40" s="4">
        <v>111.6</v>
      </c>
      <c r="AB40" s="4">
        <v>108.2</v>
      </c>
      <c r="AC40" s="4">
        <v>110.6</v>
      </c>
      <c r="AD40" s="4">
        <v>113.6</v>
      </c>
    </row>
    <row r="41" spans="1:30" hidden="1" x14ac:dyDescent="0.3">
      <c r="A41" t="s">
        <v>30</v>
      </c>
      <c r="B41">
        <v>2014</v>
      </c>
      <c r="C41" t="s">
        <v>35</v>
      </c>
      <c r="D41" s="4">
        <v>119.4</v>
      </c>
      <c r="E41" s="4">
        <v>117.7</v>
      </c>
      <c r="F41" s="4">
        <v>121.2</v>
      </c>
      <c r="G41" s="4">
        <v>115</v>
      </c>
      <c r="H41" s="4">
        <v>109</v>
      </c>
      <c r="I41" s="4">
        <v>116.6</v>
      </c>
      <c r="J41" s="4">
        <v>116</v>
      </c>
      <c r="K41" s="4">
        <v>109.8</v>
      </c>
      <c r="L41" s="4">
        <v>101.1</v>
      </c>
      <c r="M41" s="4">
        <v>110.4</v>
      </c>
      <c r="N41" s="4">
        <v>112.9</v>
      </c>
      <c r="O41" s="4">
        <v>117.8</v>
      </c>
      <c r="P41" s="4">
        <v>115.3</v>
      </c>
      <c r="Q41" s="4">
        <v>114.2</v>
      </c>
      <c r="R41" s="4">
        <v>117.1</v>
      </c>
      <c r="S41" s="4">
        <v>114.5</v>
      </c>
      <c r="T41" s="4">
        <v>116.7</v>
      </c>
      <c r="U41" s="4">
        <v>112.5</v>
      </c>
      <c r="V41" s="4">
        <v>113.2</v>
      </c>
      <c r="W41" s="4">
        <v>112.9</v>
      </c>
      <c r="X41" s="4">
        <v>110.9</v>
      </c>
      <c r="Y41" s="4">
        <v>110.8</v>
      </c>
      <c r="Z41" s="4">
        <v>109.9</v>
      </c>
      <c r="AA41" s="4">
        <v>112</v>
      </c>
      <c r="AB41" s="4">
        <v>108.7</v>
      </c>
      <c r="AC41" s="4">
        <v>110.9</v>
      </c>
      <c r="AD41" s="4">
        <v>114</v>
      </c>
    </row>
    <row r="42" spans="1:30" hidden="1" x14ac:dyDescent="0.3">
      <c r="A42" t="s">
        <v>33</v>
      </c>
      <c r="B42">
        <v>2014</v>
      </c>
      <c r="C42" t="s">
        <v>35</v>
      </c>
      <c r="D42" s="4">
        <v>121.9</v>
      </c>
      <c r="E42" s="4">
        <v>122</v>
      </c>
      <c r="F42" s="4">
        <v>124.5</v>
      </c>
      <c r="G42" s="4">
        <v>115.2</v>
      </c>
      <c r="H42" s="4">
        <v>102.5</v>
      </c>
      <c r="I42" s="4">
        <v>114.1</v>
      </c>
      <c r="J42" s="4">
        <v>111.5</v>
      </c>
      <c r="K42" s="4">
        <v>108.2</v>
      </c>
      <c r="L42" s="4">
        <v>95.4</v>
      </c>
      <c r="M42" s="4">
        <v>113.5</v>
      </c>
      <c r="N42" s="4">
        <v>112.1</v>
      </c>
      <c r="O42" s="4">
        <v>119.9</v>
      </c>
      <c r="P42" s="4">
        <v>115.2</v>
      </c>
      <c r="Q42" s="4">
        <v>116.2</v>
      </c>
      <c r="R42" s="4">
        <v>115.3</v>
      </c>
      <c r="S42" s="4">
        <v>111.7</v>
      </c>
      <c r="T42" s="4">
        <v>114.7</v>
      </c>
      <c r="U42" s="4">
        <v>112.5</v>
      </c>
      <c r="V42" s="4">
        <v>111.1</v>
      </c>
      <c r="W42" s="4">
        <v>112.6</v>
      </c>
      <c r="X42" s="4">
        <v>110.4</v>
      </c>
      <c r="Y42" s="4">
        <v>111.3</v>
      </c>
      <c r="Z42" s="4">
        <v>110.3</v>
      </c>
      <c r="AA42" s="4">
        <v>111.6</v>
      </c>
      <c r="AB42" s="4">
        <v>108.7</v>
      </c>
      <c r="AC42" s="4">
        <v>111</v>
      </c>
      <c r="AD42" s="4">
        <v>113.1</v>
      </c>
    </row>
    <row r="43" spans="1:30" hidden="1" x14ac:dyDescent="0.3">
      <c r="A43" t="s">
        <v>34</v>
      </c>
      <c r="B43">
        <v>2014</v>
      </c>
      <c r="C43" t="s">
        <v>35</v>
      </c>
      <c r="D43" s="4">
        <v>120.2</v>
      </c>
      <c r="E43" s="4">
        <v>119.2</v>
      </c>
      <c r="F43" s="4">
        <v>122.5</v>
      </c>
      <c r="G43" s="4">
        <v>115.1</v>
      </c>
      <c r="H43" s="4">
        <v>106.6</v>
      </c>
      <c r="I43" s="4">
        <v>115.4</v>
      </c>
      <c r="J43" s="4">
        <v>114.5</v>
      </c>
      <c r="K43" s="4">
        <v>109.3</v>
      </c>
      <c r="L43" s="4">
        <v>99.2</v>
      </c>
      <c r="M43" s="4">
        <v>111.4</v>
      </c>
      <c r="N43" s="4">
        <v>112.6</v>
      </c>
      <c r="O43" s="4">
        <v>118.8</v>
      </c>
      <c r="P43" s="4">
        <v>115.3</v>
      </c>
      <c r="Q43" s="4">
        <v>114.7</v>
      </c>
      <c r="R43" s="4">
        <v>116.4</v>
      </c>
      <c r="S43" s="4">
        <v>113.3</v>
      </c>
      <c r="T43" s="4">
        <v>115.9</v>
      </c>
      <c r="U43" s="4">
        <v>112.5</v>
      </c>
      <c r="V43" s="4">
        <v>112.4</v>
      </c>
      <c r="W43" s="4">
        <v>112.8</v>
      </c>
      <c r="X43" s="4">
        <v>110.7</v>
      </c>
      <c r="Y43" s="4">
        <v>111.1</v>
      </c>
      <c r="Z43" s="4">
        <v>110.1</v>
      </c>
      <c r="AA43" s="4">
        <v>111.8</v>
      </c>
      <c r="AB43" s="4">
        <v>108.7</v>
      </c>
      <c r="AC43" s="4">
        <v>110.9</v>
      </c>
      <c r="AD43" s="4">
        <v>113.6</v>
      </c>
    </row>
    <row r="44" spans="1:30" hidden="1" x14ac:dyDescent="0.3">
      <c r="A44" t="s">
        <v>30</v>
      </c>
      <c r="B44">
        <v>2014</v>
      </c>
      <c r="C44" t="s">
        <v>36</v>
      </c>
      <c r="D44" s="4">
        <v>120.1</v>
      </c>
      <c r="E44" s="4">
        <v>118.1</v>
      </c>
      <c r="F44" s="4">
        <v>120.7</v>
      </c>
      <c r="G44" s="4">
        <v>116.1</v>
      </c>
      <c r="H44" s="4">
        <v>109.3</v>
      </c>
      <c r="I44" s="4">
        <v>119.6</v>
      </c>
      <c r="J44" s="4">
        <v>117.9</v>
      </c>
      <c r="K44" s="4">
        <v>110.2</v>
      </c>
      <c r="L44" s="4">
        <v>101.2</v>
      </c>
      <c r="M44" s="4">
        <v>110.7</v>
      </c>
      <c r="N44" s="4">
        <v>113</v>
      </c>
      <c r="O44" s="4">
        <v>118.3</v>
      </c>
      <c r="P44" s="4">
        <v>116.2</v>
      </c>
      <c r="Q44" s="4">
        <v>114.6</v>
      </c>
      <c r="R44" s="4">
        <v>117.5</v>
      </c>
      <c r="S44" s="4">
        <v>114.9</v>
      </c>
      <c r="T44" s="4">
        <v>117.2</v>
      </c>
      <c r="U44" s="4">
        <v>113.2</v>
      </c>
      <c r="V44" s="4">
        <v>113.4</v>
      </c>
      <c r="W44" s="4">
        <v>113.4</v>
      </c>
      <c r="X44" s="4">
        <v>111.4</v>
      </c>
      <c r="Y44" s="4">
        <v>111.2</v>
      </c>
      <c r="Z44" s="4">
        <v>110.2</v>
      </c>
      <c r="AA44" s="4">
        <v>112.4</v>
      </c>
      <c r="AB44" s="4">
        <v>108.9</v>
      </c>
      <c r="AC44" s="4">
        <v>111.3</v>
      </c>
      <c r="AD44" s="4">
        <v>114.6</v>
      </c>
    </row>
    <row r="45" spans="1:30" hidden="1" x14ac:dyDescent="0.3">
      <c r="A45" t="s">
        <v>33</v>
      </c>
      <c r="B45">
        <v>2014</v>
      </c>
      <c r="C45" t="s">
        <v>36</v>
      </c>
      <c r="D45" s="4">
        <v>122.1</v>
      </c>
      <c r="E45" s="4">
        <v>121.4</v>
      </c>
      <c r="F45" s="4">
        <v>121.5</v>
      </c>
      <c r="G45" s="4">
        <v>116.2</v>
      </c>
      <c r="H45" s="4">
        <v>102.8</v>
      </c>
      <c r="I45" s="4">
        <v>117.7</v>
      </c>
      <c r="J45" s="4">
        <v>113.3</v>
      </c>
      <c r="K45" s="4">
        <v>108.9</v>
      </c>
      <c r="L45" s="4">
        <v>96.3</v>
      </c>
      <c r="M45" s="4">
        <v>114.1</v>
      </c>
      <c r="N45" s="4">
        <v>112.2</v>
      </c>
      <c r="O45" s="4">
        <v>120.5</v>
      </c>
      <c r="P45" s="4">
        <v>116</v>
      </c>
      <c r="Q45" s="4">
        <v>116.7</v>
      </c>
      <c r="R45" s="4">
        <v>115.8</v>
      </c>
      <c r="S45" s="4">
        <v>112.1</v>
      </c>
      <c r="T45" s="4">
        <v>115.2</v>
      </c>
      <c r="U45" s="4">
        <v>113.2</v>
      </c>
      <c r="V45" s="4">
        <v>110.9</v>
      </c>
      <c r="W45" s="4">
        <v>113</v>
      </c>
      <c r="X45" s="4">
        <v>110.8</v>
      </c>
      <c r="Y45" s="4">
        <v>111.6</v>
      </c>
      <c r="Z45" s="4">
        <v>110.9</v>
      </c>
      <c r="AA45" s="4">
        <v>111.8</v>
      </c>
      <c r="AB45" s="4">
        <v>109.2</v>
      </c>
      <c r="AC45" s="4">
        <v>111.4</v>
      </c>
      <c r="AD45" s="4">
        <v>113.7</v>
      </c>
    </row>
    <row r="46" spans="1:30" hidden="1" x14ac:dyDescent="0.3">
      <c r="A46" t="s">
        <v>34</v>
      </c>
      <c r="B46">
        <v>2014</v>
      </c>
      <c r="C46" t="s">
        <v>36</v>
      </c>
      <c r="D46" s="4">
        <v>120.7</v>
      </c>
      <c r="E46" s="4">
        <v>119.3</v>
      </c>
      <c r="F46" s="4">
        <v>121</v>
      </c>
      <c r="G46" s="4">
        <v>116.1</v>
      </c>
      <c r="H46" s="4">
        <v>106.9</v>
      </c>
      <c r="I46" s="4">
        <v>118.7</v>
      </c>
      <c r="J46" s="4">
        <v>116.3</v>
      </c>
      <c r="K46" s="4">
        <v>109.8</v>
      </c>
      <c r="L46" s="4">
        <v>99.6</v>
      </c>
      <c r="M46" s="4">
        <v>111.8</v>
      </c>
      <c r="N46" s="4">
        <v>112.7</v>
      </c>
      <c r="O46" s="4">
        <v>119.3</v>
      </c>
      <c r="P46" s="4">
        <v>116.1</v>
      </c>
      <c r="Q46" s="4">
        <v>115.2</v>
      </c>
      <c r="R46" s="4">
        <v>116.8</v>
      </c>
      <c r="S46" s="4">
        <v>113.7</v>
      </c>
      <c r="T46" s="4">
        <v>116.4</v>
      </c>
      <c r="U46" s="4">
        <v>113.2</v>
      </c>
      <c r="V46" s="4">
        <v>112.5</v>
      </c>
      <c r="W46" s="4">
        <v>113.2</v>
      </c>
      <c r="X46" s="4">
        <v>111.2</v>
      </c>
      <c r="Y46" s="4">
        <v>111.4</v>
      </c>
      <c r="Z46" s="4">
        <v>110.6</v>
      </c>
      <c r="AA46" s="4">
        <v>112</v>
      </c>
      <c r="AB46" s="4">
        <v>109</v>
      </c>
      <c r="AC46" s="4">
        <v>111.3</v>
      </c>
      <c r="AD46" s="4">
        <v>114.2</v>
      </c>
    </row>
    <row r="47" spans="1:30" hidden="1" x14ac:dyDescent="0.3">
      <c r="A47" t="s">
        <v>30</v>
      </c>
      <c r="B47">
        <v>2014</v>
      </c>
      <c r="C47" t="s">
        <v>37</v>
      </c>
      <c r="D47" s="4">
        <v>120.2</v>
      </c>
      <c r="E47" s="4">
        <v>118.9</v>
      </c>
      <c r="F47" s="4">
        <v>118.1</v>
      </c>
      <c r="G47" s="4">
        <v>117</v>
      </c>
      <c r="H47" s="4">
        <v>109.7</v>
      </c>
      <c r="I47" s="4">
        <v>125.5</v>
      </c>
      <c r="J47" s="4">
        <v>120.5</v>
      </c>
      <c r="K47" s="4">
        <v>111</v>
      </c>
      <c r="L47" s="4">
        <v>102.6</v>
      </c>
      <c r="M47" s="4">
        <v>111.2</v>
      </c>
      <c r="N47" s="4">
        <v>113.5</v>
      </c>
      <c r="O47" s="4">
        <v>118.7</v>
      </c>
      <c r="P47" s="4">
        <v>117.2</v>
      </c>
      <c r="Q47" s="4">
        <v>115.4</v>
      </c>
      <c r="R47" s="4">
        <v>118.1</v>
      </c>
      <c r="S47" s="4">
        <v>116.1</v>
      </c>
      <c r="T47" s="4">
        <v>117.8</v>
      </c>
      <c r="U47" s="4">
        <v>113.9</v>
      </c>
      <c r="V47" s="4">
        <v>113.4</v>
      </c>
      <c r="W47" s="4">
        <v>113.7</v>
      </c>
      <c r="X47" s="4">
        <v>111.8</v>
      </c>
      <c r="Y47" s="4">
        <v>111.2</v>
      </c>
      <c r="Z47" s="4">
        <v>110.5</v>
      </c>
      <c r="AA47" s="4">
        <v>113</v>
      </c>
      <c r="AB47" s="4">
        <v>108.9</v>
      </c>
      <c r="AC47" s="4">
        <v>111.5</v>
      </c>
      <c r="AD47" s="4">
        <v>115.4</v>
      </c>
    </row>
    <row r="48" spans="1:30" hidden="1" x14ac:dyDescent="0.3">
      <c r="A48" t="s">
        <v>33</v>
      </c>
      <c r="B48">
        <v>2014</v>
      </c>
      <c r="C48" t="s">
        <v>37</v>
      </c>
      <c r="D48" s="4">
        <v>122.5</v>
      </c>
      <c r="E48" s="4">
        <v>121.7</v>
      </c>
      <c r="F48" s="4">
        <v>113.3</v>
      </c>
      <c r="G48" s="4">
        <v>117</v>
      </c>
      <c r="H48" s="4">
        <v>103.1</v>
      </c>
      <c r="I48" s="4">
        <v>126.7</v>
      </c>
      <c r="J48" s="4">
        <v>121.2</v>
      </c>
      <c r="K48" s="4">
        <v>111</v>
      </c>
      <c r="L48" s="4">
        <v>100.3</v>
      </c>
      <c r="M48" s="4">
        <v>115.3</v>
      </c>
      <c r="N48" s="4">
        <v>112.7</v>
      </c>
      <c r="O48" s="4">
        <v>121</v>
      </c>
      <c r="P48" s="4">
        <v>118.2</v>
      </c>
      <c r="Q48" s="4">
        <v>117.6</v>
      </c>
      <c r="R48" s="4">
        <v>116.3</v>
      </c>
      <c r="S48" s="4">
        <v>112.5</v>
      </c>
      <c r="T48" s="4">
        <v>115.7</v>
      </c>
      <c r="U48" s="4">
        <v>113.9</v>
      </c>
      <c r="V48" s="4">
        <v>110.9</v>
      </c>
      <c r="W48" s="4">
        <v>113.4</v>
      </c>
      <c r="X48" s="4">
        <v>111</v>
      </c>
      <c r="Y48" s="4">
        <v>111.2</v>
      </c>
      <c r="Z48" s="4">
        <v>111.2</v>
      </c>
      <c r="AA48" s="4">
        <v>112.5</v>
      </c>
      <c r="AB48" s="4">
        <v>109.1</v>
      </c>
      <c r="AC48" s="4">
        <v>111.4</v>
      </c>
      <c r="AD48" s="4">
        <v>114.7</v>
      </c>
    </row>
    <row r="49" spans="1:30" hidden="1" x14ac:dyDescent="0.3">
      <c r="A49" t="s">
        <v>34</v>
      </c>
      <c r="B49">
        <v>2014</v>
      </c>
      <c r="C49" t="s">
        <v>37</v>
      </c>
      <c r="D49" s="4">
        <v>120.9</v>
      </c>
      <c r="E49" s="4">
        <v>119.9</v>
      </c>
      <c r="F49" s="4">
        <v>116.2</v>
      </c>
      <c r="G49" s="4">
        <v>117</v>
      </c>
      <c r="H49" s="4">
        <v>107.3</v>
      </c>
      <c r="I49" s="4">
        <v>126.1</v>
      </c>
      <c r="J49" s="4">
        <v>120.7</v>
      </c>
      <c r="K49" s="4">
        <v>111</v>
      </c>
      <c r="L49" s="4">
        <v>101.8</v>
      </c>
      <c r="M49" s="4">
        <v>112.6</v>
      </c>
      <c r="N49" s="4">
        <v>113.2</v>
      </c>
      <c r="O49" s="4">
        <v>119.8</v>
      </c>
      <c r="P49" s="4">
        <v>117.6</v>
      </c>
      <c r="Q49" s="4">
        <v>116</v>
      </c>
      <c r="R49" s="4">
        <v>117.4</v>
      </c>
      <c r="S49" s="4">
        <v>114.6</v>
      </c>
      <c r="T49" s="4">
        <v>117</v>
      </c>
      <c r="U49" s="4">
        <v>113.9</v>
      </c>
      <c r="V49" s="4">
        <v>112.5</v>
      </c>
      <c r="W49" s="4">
        <v>113.6</v>
      </c>
      <c r="X49" s="4">
        <v>111.5</v>
      </c>
      <c r="Y49" s="4">
        <v>111.2</v>
      </c>
      <c r="Z49" s="4">
        <v>110.9</v>
      </c>
      <c r="AA49" s="4">
        <v>112.7</v>
      </c>
      <c r="AB49" s="4">
        <v>109</v>
      </c>
      <c r="AC49" s="4">
        <v>111.5</v>
      </c>
      <c r="AD49" s="4">
        <v>115.1</v>
      </c>
    </row>
    <row r="50" spans="1:30" hidden="1" x14ac:dyDescent="0.3">
      <c r="A50" t="s">
        <v>30</v>
      </c>
      <c r="B50">
        <v>2014</v>
      </c>
      <c r="C50" t="s">
        <v>38</v>
      </c>
      <c r="D50" s="4">
        <v>120.3</v>
      </c>
      <c r="E50" s="4">
        <v>120.2</v>
      </c>
      <c r="F50" s="4">
        <v>116.9</v>
      </c>
      <c r="G50" s="4">
        <v>118</v>
      </c>
      <c r="H50" s="4">
        <v>110.1</v>
      </c>
      <c r="I50" s="4">
        <v>126.3</v>
      </c>
      <c r="J50" s="4">
        <v>123.9</v>
      </c>
      <c r="K50" s="4">
        <v>111.5</v>
      </c>
      <c r="L50" s="4">
        <v>103.5</v>
      </c>
      <c r="M50" s="4">
        <v>111.6</v>
      </c>
      <c r="N50" s="4">
        <v>114.2</v>
      </c>
      <c r="O50" s="4">
        <v>119.2</v>
      </c>
      <c r="P50" s="4">
        <v>118.2</v>
      </c>
      <c r="Q50" s="4">
        <v>116.3</v>
      </c>
      <c r="R50" s="4">
        <v>118.7</v>
      </c>
      <c r="S50" s="4">
        <v>116.8</v>
      </c>
      <c r="T50" s="4">
        <v>118.5</v>
      </c>
      <c r="U50" s="4">
        <v>114.3</v>
      </c>
      <c r="V50" s="4">
        <v>113.4</v>
      </c>
      <c r="W50" s="4">
        <v>114.1</v>
      </c>
      <c r="X50" s="4">
        <v>112.1</v>
      </c>
      <c r="Y50" s="4">
        <v>111.4</v>
      </c>
      <c r="Z50" s="4">
        <v>110.9</v>
      </c>
      <c r="AA50" s="4">
        <v>113.1</v>
      </c>
      <c r="AB50" s="4">
        <v>108.9</v>
      </c>
      <c r="AC50" s="4">
        <v>111.8</v>
      </c>
      <c r="AD50" s="4">
        <v>116</v>
      </c>
    </row>
    <row r="51" spans="1:30" hidden="1" x14ac:dyDescent="0.3">
      <c r="A51" t="s">
        <v>33</v>
      </c>
      <c r="B51">
        <v>2014</v>
      </c>
      <c r="C51" t="s">
        <v>38</v>
      </c>
      <c r="D51" s="4">
        <v>122.7</v>
      </c>
      <c r="E51" s="4">
        <v>124.1</v>
      </c>
      <c r="F51" s="4">
        <v>114.2</v>
      </c>
      <c r="G51" s="4">
        <v>119.1</v>
      </c>
      <c r="H51" s="4">
        <v>103.5</v>
      </c>
      <c r="I51" s="4">
        <v>129.19999999999999</v>
      </c>
      <c r="J51" s="4">
        <v>127</v>
      </c>
      <c r="K51" s="4">
        <v>112.6</v>
      </c>
      <c r="L51" s="4">
        <v>101.3</v>
      </c>
      <c r="M51" s="4">
        <v>117</v>
      </c>
      <c r="N51" s="4">
        <v>112.9</v>
      </c>
      <c r="O51" s="4">
        <v>121.7</v>
      </c>
      <c r="P51" s="4">
        <v>120</v>
      </c>
      <c r="Q51" s="4">
        <v>118.3</v>
      </c>
      <c r="R51" s="4">
        <v>116.8</v>
      </c>
      <c r="S51" s="4">
        <v>112.9</v>
      </c>
      <c r="T51" s="4">
        <v>116.2</v>
      </c>
      <c r="U51" s="4">
        <v>114.3</v>
      </c>
      <c r="V51" s="4">
        <v>111.1</v>
      </c>
      <c r="W51" s="4">
        <v>114.1</v>
      </c>
      <c r="X51" s="4">
        <v>111.2</v>
      </c>
      <c r="Y51" s="4">
        <v>111.3</v>
      </c>
      <c r="Z51" s="4">
        <v>111.5</v>
      </c>
      <c r="AA51" s="4">
        <v>112.9</v>
      </c>
      <c r="AB51" s="4">
        <v>109.3</v>
      </c>
      <c r="AC51" s="4">
        <v>111.7</v>
      </c>
      <c r="AD51" s="4">
        <v>115.6</v>
      </c>
    </row>
    <row r="52" spans="1:30" hidden="1" x14ac:dyDescent="0.3">
      <c r="A52" t="s">
        <v>34</v>
      </c>
      <c r="B52">
        <v>2014</v>
      </c>
      <c r="C52" t="s">
        <v>38</v>
      </c>
      <c r="D52" s="4">
        <v>121.1</v>
      </c>
      <c r="E52" s="4">
        <v>121.6</v>
      </c>
      <c r="F52" s="4">
        <v>115.9</v>
      </c>
      <c r="G52" s="4">
        <v>118.4</v>
      </c>
      <c r="H52" s="4">
        <v>107.7</v>
      </c>
      <c r="I52" s="4">
        <v>127.7</v>
      </c>
      <c r="J52" s="4">
        <v>125</v>
      </c>
      <c r="K52" s="4">
        <v>111.9</v>
      </c>
      <c r="L52" s="4">
        <v>102.8</v>
      </c>
      <c r="M52" s="4">
        <v>113.4</v>
      </c>
      <c r="N52" s="4">
        <v>113.7</v>
      </c>
      <c r="O52" s="4">
        <v>120.4</v>
      </c>
      <c r="P52" s="4">
        <v>118.9</v>
      </c>
      <c r="Q52" s="4">
        <v>116.8</v>
      </c>
      <c r="R52" s="4">
        <v>118</v>
      </c>
      <c r="S52" s="4">
        <v>115.2</v>
      </c>
      <c r="T52" s="4">
        <v>117.6</v>
      </c>
      <c r="U52" s="4">
        <v>114.3</v>
      </c>
      <c r="V52" s="4">
        <v>112.5</v>
      </c>
      <c r="W52" s="4">
        <v>114.1</v>
      </c>
      <c r="X52" s="4">
        <v>111.8</v>
      </c>
      <c r="Y52" s="4">
        <v>111.3</v>
      </c>
      <c r="Z52" s="4">
        <v>111.2</v>
      </c>
      <c r="AA52" s="4">
        <v>113</v>
      </c>
      <c r="AB52" s="4">
        <v>109.1</v>
      </c>
      <c r="AC52" s="4">
        <v>111.8</v>
      </c>
      <c r="AD52" s="4">
        <v>115.8</v>
      </c>
    </row>
    <row r="53" spans="1:30" hidden="1" x14ac:dyDescent="0.3">
      <c r="A53" t="s">
        <v>30</v>
      </c>
      <c r="B53">
        <v>2014</v>
      </c>
      <c r="C53" t="s">
        <v>39</v>
      </c>
      <c r="D53" s="4">
        <v>120.7</v>
      </c>
      <c r="E53" s="4">
        <v>121.6</v>
      </c>
      <c r="F53" s="4">
        <v>116.1</v>
      </c>
      <c r="G53" s="4">
        <v>119.3</v>
      </c>
      <c r="H53" s="4">
        <v>110.3</v>
      </c>
      <c r="I53" s="4">
        <v>125.8</v>
      </c>
      <c r="J53" s="4">
        <v>129.30000000000001</v>
      </c>
      <c r="K53" s="4">
        <v>112.2</v>
      </c>
      <c r="L53" s="4">
        <v>103.6</v>
      </c>
      <c r="M53" s="4">
        <v>112.3</v>
      </c>
      <c r="N53" s="4">
        <v>114.9</v>
      </c>
      <c r="O53" s="4">
        <v>120.1</v>
      </c>
      <c r="P53" s="4">
        <v>119.5</v>
      </c>
      <c r="Q53" s="4">
        <v>117.3</v>
      </c>
      <c r="R53" s="4">
        <v>119.7</v>
      </c>
      <c r="S53" s="4">
        <v>117.3</v>
      </c>
      <c r="T53" s="4">
        <v>119.3</v>
      </c>
      <c r="U53" s="4">
        <v>113.9</v>
      </c>
      <c r="V53" s="4">
        <v>114.4</v>
      </c>
      <c r="W53" s="4">
        <v>114.9</v>
      </c>
      <c r="X53" s="4">
        <v>112.8</v>
      </c>
      <c r="Y53" s="4">
        <v>112.2</v>
      </c>
      <c r="Z53" s="4">
        <v>111.4</v>
      </c>
      <c r="AA53" s="4">
        <v>114.3</v>
      </c>
      <c r="AB53" s="4">
        <v>108</v>
      </c>
      <c r="AC53" s="4">
        <v>112.3</v>
      </c>
      <c r="AD53" s="4">
        <v>117</v>
      </c>
    </row>
    <row r="54" spans="1:30" hidden="1" x14ac:dyDescent="0.3">
      <c r="A54" t="s">
        <v>33</v>
      </c>
      <c r="B54">
        <v>2014</v>
      </c>
      <c r="C54" t="s">
        <v>39</v>
      </c>
      <c r="D54" s="4">
        <v>123.1</v>
      </c>
      <c r="E54" s="4">
        <v>125.9</v>
      </c>
      <c r="F54" s="4">
        <v>115.4</v>
      </c>
      <c r="G54" s="4">
        <v>120.4</v>
      </c>
      <c r="H54" s="4">
        <v>103.4</v>
      </c>
      <c r="I54" s="4">
        <v>131.19999999999999</v>
      </c>
      <c r="J54" s="4">
        <v>137.5</v>
      </c>
      <c r="K54" s="4">
        <v>112.8</v>
      </c>
      <c r="L54" s="4">
        <v>101.4</v>
      </c>
      <c r="M54" s="4">
        <v>118.3</v>
      </c>
      <c r="N54" s="4">
        <v>113.2</v>
      </c>
      <c r="O54" s="4">
        <v>122.4</v>
      </c>
      <c r="P54" s="4">
        <v>122</v>
      </c>
      <c r="Q54" s="4">
        <v>119</v>
      </c>
      <c r="R54" s="4">
        <v>117.4</v>
      </c>
      <c r="S54" s="4">
        <v>113.2</v>
      </c>
      <c r="T54" s="4">
        <v>116.7</v>
      </c>
      <c r="U54" s="4">
        <v>113.9</v>
      </c>
      <c r="V54" s="4">
        <v>111.2</v>
      </c>
      <c r="W54" s="4">
        <v>114.3</v>
      </c>
      <c r="X54" s="4">
        <v>111.4</v>
      </c>
      <c r="Y54" s="4">
        <v>111.5</v>
      </c>
      <c r="Z54" s="4">
        <v>111.8</v>
      </c>
      <c r="AA54" s="4">
        <v>115.1</v>
      </c>
      <c r="AB54" s="4">
        <v>108.7</v>
      </c>
      <c r="AC54" s="4">
        <v>112.2</v>
      </c>
      <c r="AD54" s="4">
        <v>116.4</v>
      </c>
    </row>
    <row r="55" spans="1:30" hidden="1" x14ac:dyDescent="0.3">
      <c r="A55" t="s">
        <v>34</v>
      </c>
      <c r="B55">
        <v>2014</v>
      </c>
      <c r="C55" t="s">
        <v>39</v>
      </c>
      <c r="D55" s="4">
        <v>121.5</v>
      </c>
      <c r="E55" s="4">
        <v>123.1</v>
      </c>
      <c r="F55" s="4">
        <v>115.8</v>
      </c>
      <c r="G55" s="4">
        <v>119.7</v>
      </c>
      <c r="H55" s="4">
        <v>107.8</v>
      </c>
      <c r="I55" s="4">
        <v>128.30000000000001</v>
      </c>
      <c r="J55" s="4">
        <v>132.1</v>
      </c>
      <c r="K55" s="4">
        <v>112.4</v>
      </c>
      <c r="L55" s="4">
        <v>102.9</v>
      </c>
      <c r="M55" s="4">
        <v>114.3</v>
      </c>
      <c r="N55" s="4">
        <v>114.2</v>
      </c>
      <c r="O55" s="4">
        <v>121.2</v>
      </c>
      <c r="P55" s="4">
        <v>120.4</v>
      </c>
      <c r="Q55" s="4">
        <v>117.8</v>
      </c>
      <c r="R55" s="4">
        <v>118.8</v>
      </c>
      <c r="S55" s="4">
        <v>115.6</v>
      </c>
      <c r="T55" s="4">
        <v>118.3</v>
      </c>
      <c r="U55" s="4">
        <v>113.9</v>
      </c>
      <c r="V55" s="4">
        <v>113.2</v>
      </c>
      <c r="W55" s="4">
        <v>114.6</v>
      </c>
      <c r="X55" s="4">
        <v>112.3</v>
      </c>
      <c r="Y55" s="4">
        <v>111.8</v>
      </c>
      <c r="Z55" s="4">
        <v>111.6</v>
      </c>
      <c r="AA55" s="4">
        <v>114.8</v>
      </c>
      <c r="AB55" s="4">
        <v>108.3</v>
      </c>
      <c r="AC55" s="4">
        <v>112.3</v>
      </c>
      <c r="AD55" s="4">
        <v>116.7</v>
      </c>
    </row>
    <row r="56" spans="1:30" hidden="1" x14ac:dyDescent="0.3">
      <c r="A56" t="s">
        <v>30</v>
      </c>
      <c r="B56">
        <v>2014</v>
      </c>
      <c r="C56" t="s">
        <v>40</v>
      </c>
      <c r="D56" s="4">
        <v>121.7</v>
      </c>
      <c r="E56" s="4">
        <v>122.5</v>
      </c>
      <c r="F56" s="4">
        <v>117.7</v>
      </c>
      <c r="G56" s="4">
        <v>120.6</v>
      </c>
      <c r="H56" s="4">
        <v>110.4</v>
      </c>
      <c r="I56" s="4">
        <v>129.1</v>
      </c>
      <c r="J56" s="4">
        <v>150.1</v>
      </c>
      <c r="K56" s="4">
        <v>113.2</v>
      </c>
      <c r="L56" s="4">
        <v>104.8</v>
      </c>
      <c r="M56" s="4">
        <v>113.3</v>
      </c>
      <c r="N56" s="4">
        <v>115.6</v>
      </c>
      <c r="O56" s="4">
        <v>120.9</v>
      </c>
      <c r="P56" s="4">
        <v>123.3</v>
      </c>
      <c r="Q56" s="4">
        <v>118</v>
      </c>
      <c r="R56" s="4">
        <v>120.7</v>
      </c>
      <c r="S56" s="4">
        <v>118.3</v>
      </c>
      <c r="T56" s="4">
        <v>120.3</v>
      </c>
      <c r="U56" s="4">
        <v>114.8</v>
      </c>
      <c r="V56" s="4">
        <v>115.3</v>
      </c>
      <c r="W56" s="4">
        <v>115.4</v>
      </c>
      <c r="X56" s="4">
        <v>113.4</v>
      </c>
      <c r="Y56" s="4">
        <v>113.2</v>
      </c>
      <c r="Z56" s="4">
        <v>111.8</v>
      </c>
      <c r="AA56" s="4">
        <v>115.5</v>
      </c>
      <c r="AB56" s="4">
        <v>108.8</v>
      </c>
      <c r="AC56" s="4">
        <v>113.1</v>
      </c>
      <c r="AD56" s="4">
        <v>119.5</v>
      </c>
    </row>
    <row r="57" spans="1:30" hidden="1" x14ac:dyDescent="0.3">
      <c r="A57" t="s">
        <v>33</v>
      </c>
      <c r="B57">
        <v>2014</v>
      </c>
      <c r="C57" t="s">
        <v>40</v>
      </c>
      <c r="D57" s="4">
        <v>123.8</v>
      </c>
      <c r="E57" s="4">
        <v>126.4</v>
      </c>
      <c r="F57" s="4">
        <v>118</v>
      </c>
      <c r="G57" s="4">
        <v>121.6</v>
      </c>
      <c r="H57" s="4">
        <v>103.5</v>
      </c>
      <c r="I57" s="4">
        <v>133.69999999999999</v>
      </c>
      <c r="J57" s="4">
        <v>172.4</v>
      </c>
      <c r="K57" s="4">
        <v>113.1</v>
      </c>
      <c r="L57" s="4">
        <v>102.7</v>
      </c>
      <c r="M57" s="4">
        <v>120</v>
      </c>
      <c r="N57" s="4">
        <v>113.8</v>
      </c>
      <c r="O57" s="4">
        <v>123.4</v>
      </c>
      <c r="P57" s="4">
        <v>127.1</v>
      </c>
      <c r="Q57" s="4">
        <v>121</v>
      </c>
      <c r="R57" s="4">
        <v>118</v>
      </c>
      <c r="S57" s="4">
        <v>113.6</v>
      </c>
      <c r="T57" s="4">
        <v>117.4</v>
      </c>
      <c r="U57" s="4">
        <v>114.8</v>
      </c>
      <c r="V57" s="4">
        <v>111.6</v>
      </c>
      <c r="W57" s="4">
        <v>114.9</v>
      </c>
      <c r="X57" s="4">
        <v>111.5</v>
      </c>
      <c r="Y57" s="4">
        <v>113</v>
      </c>
      <c r="Z57" s="4">
        <v>112.4</v>
      </c>
      <c r="AA57" s="4">
        <v>117.8</v>
      </c>
      <c r="AB57" s="4">
        <v>109.7</v>
      </c>
      <c r="AC57" s="4">
        <v>113.5</v>
      </c>
      <c r="AD57" s="4">
        <v>118.9</v>
      </c>
    </row>
    <row r="58" spans="1:30" hidden="1" x14ac:dyDescent="0.3">
      <c r="A58" t="s">
        <v>34</v>
      </c>
      <c r="B58">
        <v>2014</v>
      </c>
      <c r="C58" t="s">
        <v>40</v>
      </c>
      <c r="D58" s="4">
        <v>122.4</v>
      </c>
      <c r="E58" s="4">
        <v>123.9</v>
      </c>
      <c r="F58" s="4">
        <v>117.8</v>
      </c>
      <c r="G58" s="4">
        <v>121</v>
      </c>
      <c r="H58" s="4">
        <v>107.9</v>
      </c>
      <c r="I58" s="4">
        <v>131.19999999999999</v>
      </c>
      <c r="J58" s="4">
        <v>157.69999999999999</v>
      </c>
      <c r="K58" s="4">
        <v>113.2</v>
      </c>
      <c r="L58" s="4">
        <v>104.1</v>
      </c>
      <c r="M58" s="4">
        <v>115.5</v>
      </c>
      <c r="N58" s="4">
        <v>114.8</v>
      </c>
      <c r="O58" s="4">
        <v>122.1</v>
      </c>
      <c r="P58" s="4">
        <v>124.7</v>
      </c>
      <c r="Q58" s="4">
        <v>118.8</v>
      </c>
      <c r="R58" s="4">
        <v>119.6</v>
      </c>
      <c r="S58" s="4">
        <v>116.3</v>
      </c>
      <c r="T58" s="4">
        <v>119.1</v>
      </c>
      <c r="U58" s="4">
        <v>114.8</v>
      </c>
      <c r="V58" s="4">
        <v>113.9</v>
      </c>
      <c r="W58" s="4">
        <v>115.2</v>
      </c>
      <c r="X58" s="4">
        <v>112.7</v>
      </c>
      <c r="Y58" s="4">
        <v>113.1</v>
      </c>
      <c r="Z58" s="4">
        <v>112.1</v>
      </c>
      <c r="AA58" s="4">
        <v>116.8</v>
      </c>
      <c r="AB58" s="4">
        <v>109.2</v>
      </c>
      <c r="AC58" s="4">
        <v>113.3</v>
      </c>
      <c r="AD58" s="4">
        <v>119.2</v>
      </c>
    </row>
    <row r="59" spans="1:30" hidden="1" x14ac:dyDescent="0.3">
      <c r="A59" t="s">
        <v>30</v>
      </c>
      <c r="B59">
        <v>2014</v>
      </c>
      <c r="C59" t="s">
        <v>41</v>
      </c>
      <c r="D59" s="4">
        <v>121.8</v>
      </c>
      <c r="E59" s="4">
        <v>122.8</v>
      </c>
      <c r="F59" s="4">
        <v>117.8</v>
      </c>
      <c r="G59" s="4">
        <v>121.9</v>
      </c>
      <c r="H59" s="4">
        <v>110.6</v>
      </c>
      <c r="I59" s="4">
        <v>129.69999999999999</v>
      </c>
      <c r="J59" s="4">
        <v>161.1</v>
      </c>
      <c r="K59" s="4">
        <v>114.1</v>
      </c>
      <c r="L59" s="4">
        <v>105.1</v>
      </c>
      <c r="M59" s="4">
        <v>114.6</v>
      </c>
      <c r="N59" s="4">
        <v>115.8</v>
      </c>
      <c r="O59" s="4">
        <v>121.7</v>
      </c>
      <c r="P59" s="4">
        <v>125.3</v>
      </c>
      <c r="Q59" s="4">
        <v>118.8</v>
      </c>
      <c r="R59" s="4">
        <v>120.9</v>
      </c>
      <c r="S59" s="4">
        <v>118.8</v>
      </c>
      <c r="T59" s="4">
        <v>120.7</v>
      </c>
      <c r="U59" s="4">
        <v>115.5</v>
      </c>
      <c r="V59" s="4">
        <v>115.4</v>
      </c>
      <c r="W59" s="4">
        <v>115.9</v>
      </c>
      <c r="X59" s="4">
        <v>114</v>
      </c>
      <c r="Y59" s="4">
        <v>113.2</v>
      </c>
      <c r="Z59" s="4">
        <v>112.2</v>
      </c>
      <c r="AA59" s="4">
        <v>116.2</v>
      </c>
      <c r="AB59" s="4">
        <v>109.4</v>
      </c>
      <c r="AC59" s="4">
        <v>113.5</v>
      </c>
      <c r="AD59" s="4">
        <v>120.7</v>
      </c>
    </row>
    <row r="60" spans="1:30" hidden="1" x14ac:dyDescent="0.3">
      <c r="A60" t="s">
        <v>33</v>
      </c>
      <c r="B60">
        <v>2014</v>
      </c>
      <c r="C60" t="s">
        <v>41</v>
      </c>
      <c r="D60" s="4">
        <v>124.8</v>
      </c>
      <c r="E60" s="4">
        <v>127.3</v>
      </c>
      <c r="F60" s="4">
        <v>116.5</v>
      </c>
      <c r="G60" s="4">
        <v>122.2</v>
      </c>
      <c r="H60" s="4">
        <v>103.6</v>
      </c>
      <c r="I60" s="4">
        <v>132.69999999999999</v>
      </c>
      <c r="J60" s="4">
        <v>181.9</v>
      </c>
      <c r="K60" s="4">
        <v>115.2</v>
      </c>
      <c r="L60" s="4">
        <v>102.7</v>
      </c>
      <c r="M60" s="4">
        <v>122.1</v>
      </c>
      <c r="N60" s="4">
        <v>114.4</v>
      </c>
      <c r="O60" s="4">
        <v>124.7</v>
      </c>
      <c r="P60" s="4">
        <v>128.9</v>
      </c>
      <c r="Q60" s="4">
        <v>123</v>
      </c>
      <c r="R60" s="4">
        <v>118.6</v>
      </c>
      <c r="S60" s="4">
        <v>114.1</v>
      </c>
      <c r="T60" s="4">
        <v>117.9</v>
      </c>
      <c r="U60" s="4">
        <v>115.5</v>
      </c>
      <c r="V60" s="4">
        <v>111.8</v>
      </c>
      <c r="W60" s="4">
        <v>115.3</v>
      </c>
      <c r="X60" s="4">
        <v>112.2</v>
      </c>
      <c r="Y60" s="4">
        <v>112.5</v>
      </c>
      <c r="Z60" s="4">
        <v>112.9</v>
      </c>
      <c r="AA60" s="4">
        <v>119.2</v>
      </c>
      <c r="AB60" s="4">
        <v>110.5</v>
      </c>
      <c r="AC60" s="4">
        <v>113.9</v>
      </c>
      <c r="AD60" s="4">
        <v>119.9</v>
      </c>
    </row>
    <row r="61" spans="1:30" hidden="1" x14ac:dyDescent="0.3">
      <c r="A61" t="s">
        <v>34</v>
      </c>
      <c r="B61">
        <v>2014</v>
      </c>
      <c r="C61" t="s">
        <v>41</v>
      </c>
      <c r="D61" s="4">
        <v>122.7</v>
      </c>
      <c r="E61" s="4">
        <v>124.4</v>
      </c>
      <c r="F61" s="4">
        <v>117.3</v>
      </c>
      <c r="G61" s="4">
        <v>122</v>
      </c>
      <c r="H61" s="4">
        <v>108</v>
      </c>
      <c r="I61" s="4">
        <v>131.1</v>
      </c>
      <c r="J61" s="4">
        <v>168.2</v>
      </c>
      <c r="K61" s="4">
        <v>114.5</v>
      </c>
      <c r="L61" s="4">
        <v>104.3</v>
      </c>
      <c r="M61" s="4">
        <v>117.1</v>
      </c>
      <c r="N61" s="4">
        <v>115.2</v>
      </c>
      <c r="O61" s="4">
        <v>123.1</v>
      </c>
      <c r="P61" s="4">
        <v>126.6</v>
      </c>
      <c r="Q61" s="4">
        <v>119.9</v>
      </c>
      <c r="R61" s="4">
        <v>120</v>
      </c>
      <c r="S61" s="4">
        <v>116.8</v>
      </c>
      <c r="T61" s="4">
        <v>119.6</v>
      </c>
      <c r="U61" s="4">
        <v>115.5</v>
      </c>
      <c r="V61" s="4">
        <v>114</v>
      </c>
      <c r="W61" s="4">
        <v>115.6</v>
      </c>
      <c r="X61" s="4">
        <v>113.3</v>
      </c>
      <c r="Y61" s="4">
        <v>112.8</v>
      </c>
      <c r="Z61" s="4">
        <v>112.6</v>
      </c>
      <c r="AA61" s="4">
        <v>118</v>
      </c>
      <c r="AB61" s="4">
        <v>109.9</v>
      </c>
      <c r="AC61" s="4">
        <v>113.7</v>
      </c>
      <c r="AD61" s="4">
        <v>120.3</v>
      </c>
    </row>
    <row r="62" spans="1:30" hidden="1" x14ac:dyDescent="0.3">
      <c r="A62" t="s">
        <v>30</v>
      </c>
      <c r="B62">
        <v>2014</v>
      </c>
      <c r="C62" t="s">
        <v>42</v>
      </c>
      <c r="D62" s="4">
        <v>122.3</v>
      </c>
      <c r="E62" s="4">
        <v>122.4</v>
      </c>
      <c r="F62" s="4">
        <v>117.8</v>
      </c>
      <c r="G62" s="4">
        <v>122.7</v>
      </c>
      <c r="H62" s="4">
        <v>110.4</v>
      </c>
      <c r="I62" s="4">
        <v>129.80000000000001</v>
      </c>
      <c r="J62" s="4">
        <v>158.80000000000001</v>
      </c>
      <c r="K62" s="4">
        <v>115</v>
      </c>
      <c r="L62" s="4">
        <v>104.7</v>
      </c>
      <c r="M62" s="4">
        <v>114.9</v>
      </c>
      <c r="N62" s="4">
        <v>116.5</v>
      </c>
      <c r="O62" s="4">
        <v>122.6</v>
      </c>
      <c r="P62" s="4">
        <v>125.3</v>
      </c>
      <c r="Q62" s="4">
        <v>119.5</v>
      </c>
      <c r="R62" s="4">
        <v>121.7</v>
      </c>
      <c r="S62" s="4">
        <v>119.2</v>
      </c>
      <c r="T62" s="4">
        <v>121.3</v>
      </c>
      <c r="U62" s="4">
        <v>116.1</v>
      </c>
      <c r="V62" s="4">
        <v>115.8</v>
      </c>
      <c r="W62" s="4">
        <v>116.7</v>
      </c>
      <c r="X62" s="4">
        <v>114.5</v>
      </c>
      <c r="Y62" s="4">
        <v>112.8</v>
      </c>
      <c r="Z62" s="4">
        <v>112.6</v>
      </c>
      <c r="AA62" s="4">
        <v>116.6</v>
      </c>
      <c r="AB62" s="4">
        <v>109.1</v>
      </c>
      <c r="AC62" s="4">
        <v>113.7</v>
      </c>
      <c r="AD62" s="4">
        <v>120.9</v>
      </c>
    </row>
    <row r="63" spans="1:30" hidden="1" x14ac:dyDescent="0.3">
      <c r="A63" t="s">
        <v>33</v>
      </c>
      <c r="B63">
        <v>2014</v>
      </c>
      <c r="C63" t="s">
        <v>42</v>
      </c>
      <c r="D63" s="4">
        <v>124.2</v>
      </c>
      <c r="E63" s="4">
        <v>125.4</v>
      </c>
      <c r="F63" s="4">
        <v>116.4</v>
      </c>
      <c r="G63" s="4">
        <v>122.7</v>
      </c>
      <c r="H63" s="4">
        <v>103.5</v>
      </c>
      <c r="I63" s="4">
        <v>124.5</v>
      </c>
      <c r="J63" s="4">
        <v>168.6</v>
      </c>
      <c r="K63" s="4">
        <v>116.9</v>
      </c>
      <c r="L63" s="4">
        <v>101.9</v>
      </c>
      <c r="M63" s="4">
        <v>122.9</v>
      </c>
      <c r="N63" s="4">
        <v>114.8</v>
      </c>
      <c r="O63" s="4">
        <v>125.2</v>
      </c>
      <c r="P63" s="4">
        <v>126.7</v>
      </c>
      <c r="Q63" s="4">
        <v>124.3</v>
      </c>
      <c r="R63" s="4">
        <v>119.2</v>
      </c>
      <c r="S63" s="4">
        <v>114.5</v>
      </c>
      <c r="T63" s="4">
        <v>118.4</v>
      </c>
      <c r="U63" s="4">
        <v>116.1</v>
      </c>
      <c r="V63" s="4">
        <v>111.8</v>
      </c>
      <c r="W63" s="4">
        <v>115.5</v>
      </c>
      <c r="X63" s="4">
        <v>112.3</v>
      </c>
      <c r="Y63" s="4">
        <v>111.2</v>
      </c>
      <c r="Z63" s="4">
        <v>113.4</v>
      </c>
      <c r="AA63" s="4">
        <v>120</v>
      </c>
      <c r="AB63" s="4">
        <v>110</v>
      </c>
      <c r="AC63" s="4">
        <v>113.6</v>
      </c>
      <c r="AD63" s="4">
        <v>119.2</v>
      </c>
    </row>
    <row r="64" spans="1:30" hidden="1" x14ac:dyDescent="0.3">
      <c r="A64" t="s">
        <v>34</v>
      </c>
      <c r="B64">
        <v>2014</v>
      </c>
      <c r="C64" t="s">
        <v>42</v>
      </c>
      <c r="D64" s="4">
        <v>122.9</v>
      </c>
      <c r="E64" s="4">
        <v>123.5</v>
      </c>
      <c r="F64" s="4">
        <v>117.3</v>
      </c>
      <c r="G64" s="4">
        <v>122.7</v>
      </c>
      <c r="H64" s="4">
        <v>107.9</v>
      </c>
      <c r="I64" s="4">
        <v>127.3</v>
      </c>
      <c r="J64" s="4">
        <v>162.1</v>
      </c>
      <c r="K64" s="4">
        <v>115.6</v>
      </c>
      <c r="L64" s="4">
        <v>103.8</v>
      </c>
      <c r="M64" s="4">
        <v>117.6</v>
      </c>
      <c r="N64" s="4">
        <v>115.8</v>
      </c>
      <c r="O64" s="4">
        <v>123.8</v>
      </c>
      <c r="P64" s="4">
        <v>125.8</v>
      </c>
      <c r="Q64" s="4">
        <v>120.8</v>
      </c>
      <c r="R64" s="4">
        <v>120.7</v>
      </c>
      <c r="S64" s="4">
        <v>117.2</v>
      </c>
      <c r="T64" s="4">
        <v>120.1</v>
      </c>
      <c r="U64" s="4">
        <v>116.1</v>
      </c>
      <c r="V64" s="4">
        <v>114.3</v>
      </c>
      <c r="W64" s="4">
        <v>116.1</v>
      </c>
      <c r="X64" s="4">
        <v>113.7</v>
      </c>
      <c r="Y64" s="4">
        <v>112</v>
      </c>
      <c r="Z64" s="4">
        <v>113.1</v>
      </c>
      <c r="AA64" s="4">
        <v>118.6</v>
      </c>
      <c r="AB64" s="4">
        <v>109.5</v>
      </c>
      <c r="AC64" s="4">
        <v>113.7</v>
      </c>
      <c r="AD64" s="4">
        <v>120.1</v>
      </c>
    </row>
    <row r="65" spans="1:30" hidden="1" x14ac:dyDescent="0.3">
      <c r="A65" t="s">
        <v>30</v>
      </c>
      <c r="B65">
        <v>2014</v>
      </c>
      <c r="C65" t="s">
        <v>43</v>
      </c>
      <c r="D65" s="4">
        <v>122.6</v>
      </c>
      <c r="E65" s="4">
        <v>122.5</v>
      </c>
      <c r="F65" s="4">
        <v>118.3</v>
      </c>
      <c r="G65" s="4">
        <v>123.2</v>
      </c>
      <c r="H65" s="4">
        <v>110.5</v>
      </c>
      <c r="I65" s="4">
        <v>128.9</v>
      </c>
      <c r="J65" s="4">
        <v>155.30000000000001</v>
      </c>
      <c r="K65" s="4">
        <v>115.5</v>
      </c>
      <c r="L65" s="4">
        <v>104</v>
      </c>
      <c r="M65" s="4">
        <v>115.3</v>
      </c>
      <c r="N65" s="4">
        <v>116.8</v>
      </c>
      <c r="O65" s="4">
        <v>123.2</v>
      </c>
      <c r="P65" s="4">
        <v>125.1</v>
      </c>
      <c r="Q65" s="4">
        <v>120</v>
      </c>
      <c r="R65" s="4">
        <v>122.7</v>
      </c>
      <c r="S65" s="4">
        <v>120.3</v>
      </c>
      <c r="T65" s="4">
        <v>122.3</v>
      </c>
      <c r="U65" s="4">
        <v>116.7</v>
      </c>
      <c r="V65" s="4">
        <v>116.4</v>
      </c>
      <c r="W65" s="4">
        <v>117.5</v>
      </c>
      <c r="X65" s="4">
        <v>115.3</v>
      </c>
      <c r="Y65" s="4">
        <v>112.6</v>
      </c>
      <c r="Z65" s="4">
        <v>113</v>
      </c>
      <c r="AA65" s="4">
        <v>116.9</v>
      </c>
      <c r="AB65" s="4">
        <v>109.3</v>
      </c>
      <c r="AC65" s="4">
        <v>114</v>
      </c>
      <c r="AD65" s="4">
        <v>121</v>
      </c>
    </row>
    <row r="66" spans="1:30" hidden="1" x14ac:dyDescent="0.3">
      <c r="A66" t="s">
        <v>33</v>
      </c>
      <c r="B66">
        <v>2014</v>
      </c>
      <c r="C66" t="s">
        <v>43</v>
      </c>
      <c r="D66" s="4">
        <v>124.6</v>
      </c>
      <c r="E66" s="4">
        <v>126.1</v>
      </c>
      <c r="F66" s="4">
        <v>117.8</v>
      </c>
      <c r="G66" s="4">
        <v>123.1</v>
      </c>
      <c r="H66" s="4">
        <v>103.5</v>
      </c>
      <c r="I66" s="4">
        <v>123.5</v>
      </c>
      <c r="J66" s="4">
        <v>159.6</v>
      </c>
      <c r="K66" s="4">
        <v>117.4</v>
      </c>
      <c r="L66" s="4">
        <v>101.2</v>
      </c>
      <c r="M66" s="4">
        <v>123.8</v>
      </c>
      <c r="N66" s="4">
        <v>115.2</v>
      </c>
      <c r="O66" s="4">
        <v>125.9</v>
      </c>
      <c r="P66" s="4">
        <v>125.8</v>
      </c>
      <c r="Q66" s="4">
        <v>124.3</v>
      </c>
      <c r="R66" s="4">
        <v>119.6</v>
      </c>
      <c r="S66" s="4">
        <v>114.9</v>
      </c>
      <c r="T66" s="4">
        <v>118.9</v>
      </c>
      <c r="U66" s="4">
        <v>116.7</v>
      </c>
      <c r="V66" s="4">
        <v>112</v>
      </c>
      <c r="W66" s="4">
        <v>115.8</v>
      </c>
      <c r="X66" s="4">
        <v>112.6</v>
      </c>
      <c r="Y66" s="4">
        <v>111</v>
      </c>
      <c r="Z66" s="4">
        <v>113.6</v>
      </c>
      <c r="AA66" s="4">
        <v>120.2</v>
      </c>
      <c r="AB66" s="4">
        <v>110.1</v>
      </c>
      <c r="AC66" s="4">
        <v>113.7</v>
      </c>
      <c r="AD66" s="4">
        <v>119.1</v>
      </c>
    </row>
    <row r="67" spans="1:30" hidden="1" x14ac:dyDescent="0.3">
      <c r="A67" t="s">
        <v>34</v>
      </c>
      <c r="B67">
        <v>2014</v>
      </c>
      <c r="C67" t="s">
        <v>43</v>
      </c>
      <c r="D67" s="4">
        <v>123.2</v>
      </c>
      <c r="E67" s="4">
        <v>123.8</v>
      </c>
      <c r="F67" s="4">
        <v>118.1</v>
      </c>
      <c r="G67" s="4">
        <v>123.2</v>
      </c>
      <c r="H67" s="4">
        <v>107.9</v>
      </c>
      <c r="I67" s="4">
        <v>126.4</v>
      </c>
      <c r="J67" s="4">
        <v>156.80000000000001</v>
      </c>
      <c r="K67" s="4">
        <v>116.1</v>
      </c>
      <c r="L67" s="4">
        <v>103.1</v>
      </c>
      <c r="M67" s="4">
        <v>118.1</v>
      </c>
      <c r="N67" s="4">
        <v>116.1</v>
      </c>
      <c r="O67" s="4">
        <v>124.5</v>
      </c>
      <c r="P67" s="4">
        <v>125.4</v>
      </c>
      <c r="Q67" s="4">
        <v>121.1</v>
      </c>
      <c r="R67" s="4">
        <v>121.5</v>
      </c>
      <c r="S67" s="4">
        <v>118.1</v>
      </c>
      <c r="T67" s="4">
        <v>121</v>
      </c>
      <c r="U67" s="4">
        <v>116.7</v>
      </c>
      <c r="V67" s="4">
        <v>114.7</v>
      </c>
      <c r="W67" s="4">
        <v>116.7</v>
      </c>
      <c r="X67" s="4">
        <v>114.3</v>
      </c>
      <c r="Y67" s="4">
        <v>111.8</v>
      </c>
      <c r="Z67" s="4">
        <v>113.3</v>
      </c>
      <c r="AA67" s="4">
        <v>118.8</v>
      </c>
      <c r="AB67" s="4">
        <v>109.6</v>
      </c>
      <c r="AC67" s="4">
        <v>113.9</v>
      </c>
      <c r="AD67" s="4">
        <v>120.1</v>
      </c>
    </row>
    <row r="68" spans="1:30" hidden="1" x14ac:dyDescent="0.3">
      <c r="A68" t="s">
        <v>30</v>
      </c>
      <c r="B68">
        <v>2014</v>
      </c>
      <c r="C68" t="s">
        <v>45</v>
      </c>
      <c r="D68" s="4">
        <v>122.7</v>
      </c>
      <c r="E68" s="4">
        <v>122.6</v>
      </c>
      <c r="F68" s="4">
        <v>119.9</v>
      </c>
      <c r="G68" s="4">
        <v>124</v>
      </c>
      <c r="H68" s="4">
        <v>110.5</v>
      </c>
      <c r="I68" s="4">
        <v>128.80000000000001</v>
      </c>
      <c r="J68" s="4">
        <v>152</v>
      </c>
      <c r="K68" s="4">
        <v>116.2</v>
      </c>
      <c r="L68" s="4">
        <v>103.3</v>
      </c>
      <c r="M68" s="4">
        <v>115.8</v>
      </c>
      <c r="N68" s="4">
        <v>116.8</v>
      </c>
      <c r="O68" s="4">
        <v>124.5</v>
      </c>
      <c r="P68" s="4">
        <v>124.9</v>
      </c>
      <c r="Q68" s="4">
        <v>120.8</v>
      </c>
      <c r="R68" s="4">
        <v>123.3</v>
      </c>
      <c r="S68" s="4">
        <v>120.5</v>
      </c>
      <c r="T68" s="4">
        <v>122.9</v>
      </c>
      <c r="U68" s="4">
        <v>117.1</v>
      </c>
      <c r="V68" s="4">
        <v>117.3</v>
      </c>
      <c r="W68" s="4">
        <v>118.1</v>
      </c>
      <c r="X68" s="4">
        <v>115.9</v>
      </c>
      <c r="Y68" s="4">
        <v>112</v>
      </c>
      <c r="Z68" s="4">
        <v>113.3</v>
      </c>
      <c r="AA68" s="4">
        <v>117.2</v>
      </c>
      <c r="AB68" s="4">
        <v>108.8</v>
      </c>
      <c r="AC68" s="4">
        <v>114.1</v>
      </c>
      <c r="AD68" s="4">
        <v>121.1</v>
      </c>
    </row>
    <row r="69" spans="1:30" hidden="1" x14ac:dyDescent="0.3">
      <c r="A69" t="s">
        <v>33</v>
      </c>
      <c r="B69">
        <v>2014</v>
      </c>
      <c r="C69" t="s">
        <v>45</v>
      </c>
      <c r="D69" s="4">
        <v>124.5</v>
      </c>
      <c r="E69" s="4">
        <v>125.6</v>
      </c>
      <c r="F69" s="4">
        <v>122.7</v>
      </c>
      <c r="G69" s="4">
        <v>124.6</v>
      </c>
      <c r="H69" s="4">
        <v>103.2</v>
      </c>
      <c r="I69" s="4">
        <v>122.2</v>
      </c>
      <c r="J69" s="4">
        <v>153.19999999999999</v>
      </c>
      <c r="K69" s="4">
        <v>119.3</v>
      </c>
      <c r="L69" s="4">
        <v>99.8</v>
      </c>
      <c r="M69" s="4">
        <v>124.6</v>
      </c>
      <c r="N69" s="4">
        <v>115.8</v>
      </c>
      <c r="O69" s="4">
        <v>126.9</v>
      </c>
      <c r="P69" s="4">
        <v>125.4</v>
      </c>
      <c r="Q69" s="4">
        <v>125.8</v>
      </c>
      <c r="R69" s="4">
        <v>120.3</v>
      </c>
      <c r="S69" s="4">
        <v>115.4</v>
      </c>
      <c r="T69" s="4">
        <v>119.5</v>
      </c>
      <c r="U69" s="4">
        <v>117.1</v>
      </c>
      <c r="V69" s="4">
        <v>112.6</v>
      </c>
      <c r="W69" s="4">
        <v>116.4</v>
      </c>
      <c r="X69" s="4">
        <v>113</v>
      </c>
      <c r="Y69" s="4">
        <v>109.7</v>
      </c>
      <c r="Z69" s="4">
        <v>114</v>
      </c>
      <c r="AA69" s="4">
        <v>120.3</v>
      </c>
      <c r="AB69" s="4">
        <v>109.6</v>
      </c>
      <c r="AC69" s="4">
        <v>113.4</v>
      </c>
      <c r="AD69" s="4">
        <v>119</v>
      </c>
    </row>
    <row r="70" spans="1:30" hidden="1" x14ac:dyDescent="0.3">
      <c r="A70" t="s">
        <v>34</v>
      </c>
      <c r="B70">
        <v>2014</v>
      </c>
      <c r="C70" t="s">
        <v>45</v>
      </c>
      <c r="D70" s="4">
        <v>123.3</v>
      </c>
      <c r="E70" s="4">
        <v>123.7</v>
      </c>
      <c r="F70" s="4">
        <v>121</v>
      </c>
      <c r="G70" s="4">
        <v>124.2</v>
      </c>
      <c r="H70" s="4">
        <v>107.8</v>
      </c>
      <c r="I70" s="4">
        <v>125.7</v>
      </c>
      <c r="J70" s="4">
        <v>152.4</v>
      </c>
      <c r="K70" s="4">
        <v>117.2</v>
      </c>
      <c r="L70" s="4">
        <v>102.1</v>
      </c>
      <c r="M70" s="4">
        <v>118.7</v>
      </c>
      <c r="N70" s="4">
        <v>116.4</v>
      </c>
      <c r="O70" s="4">
        <v>125.6</v>
      </c>
      <c r="P70" s="4">
        <v>125.1</v>
      </c>
      <c r="Q70" s="4">
        <v>122.1</v>
      </c>
      <c r="R70" s="4">
        <v>122.1</v>
      </c>
      <c r="S70" s="4">
        <v>118.4</v>
      </c>
      <c r="T70" s="4">
        <v>121.6</v>
      </c>
      <c r="U70" s="4">
        <v>117.1</v>
      </c>
      <c r="V70" s="4">
        <v>115.5</v>
      </c>
      <c r="W70" s="4">
        <v>117.3</v>
      </c>
      <c r="X70" s="4">
        <v>114.8</v>
      </c>
      <c r="Y70" s="4">
        <v>110.8</v>
      </c>
      <c r="Z70" s="4">
        <v>113.7</v>
      </c>
      <c r="AA70" s="4">
        <v>119</v>
      </c>
      <c r="AB70" s="4">
        <v>109.1</v>
      </c>
      <c r="AC70" s="4">
        <v>113.8</v>
      </c>
      <c r="AD70" s="4">
        <v>120.1</v>
      </c>
    </row>
    <row r="71" spans="1:30" hidden="1" x14ac:dyDescent="0.3">
      <c r="A71" t="s">
        <v>30</v>
      </c>
      <c r="B71">
        <v>2014</v>
      </c>
      <c r="C71" t="s">
        <v>46</v>
      </c>
      <c r="D71" s="4">
        <v>122.4</v>
      </c>
      <c r="E71" s="4">
        <v>122.4</v>
      </c>
      <c r="F71" s="4">
        <v>121.8</v>
      </c>
      <c r="G71" s="4">
        <v>124.2</v>
      </c>
      <c r="H71" s="4">
        <v>110.2</v>
      </c>
      <c r="I71" s="4">
        <v>128.6</v>
      </c>
      <c r="J71" s="4">
        <v>140.30000000000001</v>
      </c>
      <c r="K71" s="4">
        <v>116.3</v>
      </c>
      <c r="L71" s="4">
        <v>102</v>
      </c>
      <c r="M71" s="4">
        <v>116</v>
      </c>
      <c r="N71" s="4">
        <v>117.3</v>
      </c>
      <c r="O71" s="4">
        <v>124.8</v>
      </c>
      <c r="P71" s="4">
        <v>123.3</v>
      </c>
      <c r="Q71" s="4">
        <v>121.7</v>
      </c>
      <c r="R71" s="4">
        <v>123.8</v>
      </c>
      <c r="S71" s="4">
        <v>120.6</v>
      </c>
      <c r="T71" s="4">
        <v>123.3</v>
      </c>
      <c r="U71" s="4">
        <v>116.5</v>
      </c>
      <c r="V71" s="4">
        <v>117.4</v>
      </c>
      <c r="W71" s="4">
        <v>118.2</v>
      </c>
      <c r="X71" s="4">
        <v>116.2</v>
      </c>
      <c r="Y71" s="4">
        <v>111.5</v>
      </c>
      <c r="Z71" s="4">
        <v>113.3</v>
      </c>
      <c r="AA71" s="4">
        <v>117.7</v>
      </c>
      <c r="AB71" s="4">
        <v>109.4</v>
      </c>
      <c r="AC71" s="4">
        <v>114.2</v>
      </c>
      <c r="AD71" s="4">
        <v>120.3</v>
      </c>
    </row>
    <row r="72" spans="1:30" hidden="1" x14ac:dyDescent="0.3">
      <c r="A72" t="s">
        <v>33</v>
      </c>
      <c r="B72">
        <v>2014</v>
      </c>
      <c r="C72" t="s">
        <v>46</v>
      </c>
      <c r="D72" s="4">
        <v>124</v>
      </c>
      <c r="E72" s="4">
        <v>124.7</v>
      </c>
      <c r="F72" s="4">
        <v>126.3</v>
      </c>
      <c r="G72" s="4">
        <v>124.9</v>
      </c>
      <c r="H72" s="4">
        <v>103</v>
      </c>
      <c r="I72" s="4">
        <v>122.3</v>
      </c>
      <c r="J72" s="4">
        <v>141</v>
      </c>
      <c r="K72" s="4">
        <v>120.1</v>
      </c>
      <c r="L72" s="4">
        <v>97.8</v>
      </c>
      <c r="M72" s="4">
        <v>125.4</v>
      </c>
      <c r="N72" s="4">
        <v>116.1</v>
      </c>
      <c r="O72" s="4">
        <v>127.6</v>
      </c>
      <c r="P72" s="4">
        <v>124</v>
      </c>
      <c r="Q72" s="4">
        <v>126.4</v>
      </c>
      <c r="R72" s="4">
        <v>120.7</v>
      </c>
      <c r="S72" s="4">
        <v>115.8</v>
      </c>
      <c r="T72" s="4">
        <v>120</v>
      </c>
      <c r="U72" s="4">
        <v>116.5</v>
      </c>
      <c r="V72" s="4">
        <v>113</v>
      </c>
      <c r="W72" s="4">
        <v>116.8</v>
      </c>
      <c r="X72" s="4">
        <v>113.2</v>
      </c>
      <c r="Y72" s="4">
        <v>108.8</v>
      </c>
      <c r="Z72" s="4">
        <v>114.3</v>
      </c>
      <c r="AA72" s="4">
        <v>120.7</v>
      </c>
      <c r="AB72" s="4">
        <v>110.4</v>
      </c>
      <c r="AC72" s="4">
        <v>113.4</v>
      </c>
      <c r="AD72" s="4">
        <v>118.4</v>
      </c>
    </row>
    <row r="73" spans="1:30" hidden="1" x14ac:dyDescent="0.3">
      <c r="A73" t="s">
        <v>34</v>
      </c>
      <c r="B73">
        <v>2014</v>
      </c>
      <c r="C73" t="s">
        <v>46</v>
      </c>
      <c r="D73" s="4">
        <v>122.9</v>
      </c>
      <c r="E73" s="4">
        <v>123.2</v>
      </c>
      <c r="F73" s="4">
        <v>123.5</v>
      </c>
      <c r="G73" s="4">
        <v>124.5</v>
      </c>
      <c r="H73" s="4">
        <v>107.6</v>
      </c>
      <c r="I73" s="4">
        <v>125.7</v>
      </c>
      <c r="J73" s="4">
        <v>140.5</v>
      </c>
      <c r="K73" s="4">
        <v>117.6</v>
      </c>
      <c r="L73" s="4">
        <v>100.6</v>
      </c>
      <c r="M73" s="4">
        <v>119.1</v>
      </c>
      <c r="N73" s="4">
        <v>116.8</v>
      </c>
      <c r="O73" s="4">
        <v>126.1</v>
      </c>
      <c r="P73" s="4">
        <v>123.6</v>
      </c>
      <c r="Q73" s="4">
        <v>123</v>
      </c>
      <c r="R73" s="4">
        <v>122.6</v>
      </c>
      <c r="S73" s="4">
        <v>118.6</v>
      </c>
      <c r="T73" s="4">
        <v>122</v>
      </c>
      <c r="U73" s="4">
        <v>116.5</v>
      </c>
      <c r="V73" s="4">
        <v>115.7</v>
      </c>
      <c r="W73" s="4">
        <v>117.5</v>
      </c>
      <c r="X73" s="4">
        <v>115.1</v>
      </c>
      <c r="Y73" s="4">
        <v>110.1</v>
      </c>
      <c r="Z73" s="4">
        <v>113.9</v>
      </c>
      <c r="AA73" s="4">
        <v>119.5</v>
      </c>
      <c r="AB73" s="4">
        <v>109.8</v>
      </c>
      <c r="AC73" s="4">
        <v>113.8</v>
      </c>
      <c r="AD73" s="4">
        <v>119.4</v>
      </c>
    </row>
    <row r="74" spans="1:30" hidden="1" x14ac:dyDescent="0.3">
      <c r="A74" t="s">
        <v>30</v>
      </c>
      <c r="B74">
        <v>2015</v>
      </c>
      <c r="C74" t="s">
        <v>31</v>
      </c>
      <c r="D74" s="4">
        <v>123.1</v>
      </c>
      <c r="E74" s="4">
        <v>123.1</v>
      </c>
      <c r="F74" s="4">
        <v>122.1</v>
      </c>
      <c r="G74" s="4">
        <v>124.9</v>
      </c>
      <c r="H74" s="4">
        <v>111</v>
      </c>
      <c r="I74" s="4">
        <v>130.4</v>
      </c>
      <c r="J74" s="4">
        <v>132.30000000000001</v>
      </c>
      <c r="K74" s="4">
        <v>117.2</v>
      </c>
      <c r="L74" s="4">
        <v>100.5</v>
      </c>
      <c r="M74" s="4">
        <v>117.2</v>
      </c>
      <c r="N74" s="4">
        <v>117.9</v>
      </c>
      <c r="O74" s="4">
        <v>125.6</v>
      </c>
      <c r="P74" s="4">
        <v>122.8</v>
      </c>
      <c r="Q74" s="4">
        <v>122.7</v>
      </c>
      <c r="R74" s="4">
        <v>124.4</v>
      </c>
      <c r="S74" s="4">
        <v>121.6</v>
      </c>
      <c r="T74" s="4">
        <v>124</v>
      </c>
      <c r="U74" s="4">
        <v>117.3</v>
      </c>
      <c r="V74" s="4">
        <v>118.4</v>
      </c>
      <c r="W74" s="4">
        <v>118.9</v>
      </c>
      <c r="X74" s="4">
        <v>116.6</v>
      </c>
      <c r="Y74" s="4">
        <v>111</v>
      </c>
      <c r="Z74" s="4">
        <v>114</v>
      </c>
      <c r="AA74" s="4">
        <v>118.2</v>
      </c>
      <c r="AB74" s="4">
        <v>110.2</v>
      </c>
      <c r="AC74" s="4">
        <v>114.5</v>
      </c>
      <c r="AD74" s="4">
        <v>120.3</v>
      </c>
    </row>
    <row r="75" spans="1:30" hidden="1" x14ac:dyDescent="0.3">
      <c r="A75" t="s">
        <v>33</v>
      </c>
      <c r="B75">
        <v>2015</v>
      </c>
      <c r="C75" t="s">
        <v>31</v>
      </c>
      <c r="D75" s="4">
        <v>124</v>
      </c>
      <c r="E75" s="4">
        <v>125.5</v>
      </c>
      <c r="F75" s="4">
        <v>126.6</v>
      </c>
      <c r="G75" s="4">
        <v>125.2</v>
      </c>
      <c r="H75" s="4">
        <v>104.3</v>
      </c>
      <c r="I75" s="4">
        <v>121.3</v>
      </c>
      <c r="J75" s="4">
        <v>134.4</v>
      </c>
      <c r="K75" s="4">
        <v>122.9</v>
      </c>
      <c r="L75" s="4">
        <v>96.1</v>
      </c>
      <c r="M75" s="4">
        <v>126.6</v>
      </c>
      <c r="N75" s="4">
        <v>116.5</v>
      </c>
      <c r="O75" s="4">
        <v>128</v>
      </c>
      <c r="P75" s="4">
        <v>123.5</v>
      </c>
      <c r="Q75" s="4">
        <v>127.4</v>
      </c>
      <c r="R75" s="4">
        <v>121</v>
      </c>
      <c r="S75" s="4">
        <v>116.1</v>
      </c>
      <c r="T75" s="4">
        <v>120.2</v>
      </c>
      <c r="U75" s="4">
        <v>117.3</v>
      </c>
      <c r="V75" s="4">
        <v>113.4</v>
      </c>
      <c r="W75" s="4">
        <v>117.2</v>
      </c>
      <c r="X75" s="4">
        <v>113.7</v>
      </c>
      <c r="Y75" s="4">
        <v>107.9</v>
      </c>
      <c r="Z75" s="4">
        <v>114.6</v>
      </c>
      <c r="AA75" s="4">
        <v>120.8</v>
      </c>
      <c r="AB75" s="4">
        <v>111.4</v>
      </c>
      <c r="AC75" s="4">
        <v>113.4</v>
      </c>
      <c r="AD75" s="4">
        <v>118.5</v>
      </c>
    </row>
    <row r="76" spans="1:30" hidden="1" x14ac:dyDescent="0.3">
      <c r="A76" t="s">
        <v>34</v>
      </c>
      <c r="B76">
        <v>2015</v>
      </c>
      <c r="C76" t="s">
        <v>31</v>
      </c>
      <c r="D76" s="4">
        <v>123.4</v>
      </c>
      <c r="E76" s="4">
        <v>123.9</v>
      </c>
      <c r="F76" s="4">
        <v>123.8</v>
      </c>
      <c r="G76" s="4">
        <v>125</v>
      </c>
      <c r="H76" s="4">
        <v>108.5</v>
      </c>
      <c r="I76" s="4">
        <v>126.2</v>
      </c>
      <c r="J76" s="4">
        <v>133</v>
      </c>
      <c r="K76" s="4">
        <v>119.1</v>
      </c>
      <c r="L76" s="4">
        <v>99</v>
      </c>
      <c r="M76" s="4">
        <v>120.3</v>
      </c>
      <c r="N76" s="4">
        <v>117.3</v>
      </c>
      <c r="O76" s="4">
        <v>126.7</v>
      </c>
      <c r="P76" s="4">
        <v>123.1</v>
      </c>
      <c r="Q76" s="4">
        <v>124</v>
      </c>
      <c r="R76" s="4">
        <v>123.1</v>
      </c>
      <c r="S76" s="4">
        <v>119.3</v>
      </c>
      <c r="T76" s="4">
        <v>122.5</v>
      </c>
      <c r="U76" s="4">
        <v>117.3</v>
      </c>
      <c r="V76" s="4">
        <v>116.5</v>
      </c>
      <c r="W76" s="4">
        <v>118.1</v>
      </c>
      <c r="X76" s="4">
        <v>115.5</v>
      </c>
      <c r="Y76" s="4">
        <v>109.4</v>
      </c>
      <c r="Z76" s="4">
        <v>114.3</v>
      </c>
      <c r="AA76" s="4">
        <v>119.7</v>
      </c>
      <c r="AB76" s="4">
        <v>110.7</v>
      </c>
      <c r="AC76" s="4">
        <v>114</v>
      </c>
      <c r="AD76" s="4">
        <v>119.5</v>
      </c>
    </row>
    <row r="77" spans="1:30" hidden="1" x14ac:dyDescent="0.3">
      <c r="A77" t="s">
        <v>30</v>
      </c>
      <c r="B77">
        <v>2015</v>
      </c>
      <c r="C77" t="s">
        <v>35</v>
      </c>
      <c r="D77" s="4">
        <v>123.4</v>
      </c>
      <c r="E77" s="4">
        <v>124.4</v>
      </c>
      <c r="F77" s="4">
        <v>122.1</v>
      </c>
      <c r="G77" s="4">
        <v>125.8</v>
      </c>
      <c r="H77" s="4">
        <v>111.5</v>
      </c>
      <c r="I77" s="4">
        <v>129.4</v>
      </c>
      <c r="J77" s="4">
        <v>128.19999999999999</v>
      </c>
      <c r="K77" s="4">
        <v>118.8</v>
      </c>
      <c r="L77" s="4">
        <v>100</v>
      </c>
      <c r="M77" s="4">
        <v>118.6</v>
      </c>
      <c r="N77" s="4">
        <v>118.8</v>
      </c>
      <c r="O77" s="4">
        <v>126.8</v>
      </c>
      <c r="P77" s="4">
        <v>122.8</v>
      </c>
      <c r="Q77" s="4">
        <v>124.2</v>
      </c>
      <c r="R77" s="4">
        <v>125.4</v>
      </c>
      <c r="S77" s="4">
        <v>122.7</v>
      </c>
      <c r="T77" s="4">
        <v>125</v>
      </c>
      <c r="U77" s="4">
        <v>118.1</v>
      </c>
      <c r="V77" s="4">
        <v>120</v>
      </c>
      <c r="W77" s="4">
        <v>119.6</v>
      </c>
      <c r="X77" s="4">
        <v>117.7</v>
      </c>
      <c r="Y77" s="4">
        <v>110.9</v>
      </c>
      <c r="Z77" s="4">
        <v>114.8</v>
      </c>
      <c r="AA77" s="4">
        <v>118.7</v>
      </c>
      <c r="AB77" s="4">
        <v>110.8</v>
      </c>
      <c r="AC77" s="4">
        <v>115</v>
      </c>
      <c r="AD77" s="4">
        <v>120.6</v>
      </c>
    </row>
    <row r="78" spans="1:30" hidden="1" x14ac:dyDescent="0.3">
      <c r="A78" t="s">
        <v>33</v>
      </c>
      <c r="B78">
        <v>2015</v>
      </c>
      <c r="C78" t="s">
        <v>35</v>
      </c>
      <c r="D78" s="4">
        <v>124.3</v>
      </c>
      <c r="E78" s="4">
        <v>126.5</v>
      </c>
      <c r="F78" s="4">
        <v>119.5</v>
      </c>
      <c r="G78" s="4">
        <v>125.6</v>
      </c>
      <c r="H78" s="4">
        <v>104.9</v>
      </c>
      <c r="I78" s="4">
        <v>121.6</v>
      </c>
      <c r="J78" s="4">
        <v>131.80000000000001</v>
      </c>
      <c r="K78" s="4">
        <v>125.1</v>
      </c>
      <c r="L78" s="4">
        <v>95</v>
      </c>
      <c r="M78" s="4">
        <v>127.7</v>
      </c>
      <c r="N78" s="4">
        <v>116.8</v>
      </c>
      <c r="O78" s="4">
        <v>128.6</v>
      </c>
      <c r="P78" s="4">
        <v>123.7</v>
      </c>
      <c r="Q78" s="4">
        <v>128.1</v>
      </c>
      <c r="R78" s="4">
        <v>121.3</v>
      </c>
      <c r="S78" s="4">
        <v>116.5</v>
      </c>
      <c r="T78" s="4">
        <v>120.6</v>
      </c>
      <c r="U78" s="4">
        <v>118.1</v>
      </c>
      <c r="V78" s="4">
        <v>114</v>
      </c>
      <c r="W78" s="4">
        <v>117.7</v>
      </c>
      <c r="X78" s="4">
        <v>114.1</v>
      </c>
      <c r="Y78" s="4">
        <v>106.8</v>
      </c>
      <c r="Z78" s="4">
        <v>114.9</v>
      </c>
      <c r="AA78" s="4">
        <v>120.4</v>
      </c>
      <c r="AB78" s="4">
        <v>111.7</v>
      </c>
      <c r="AC78" s="4">
        <v>113.2</v>
      </c>
      <c r="AD78" s="4">
        <v>118.7</v>
      </c>
    </row>
    <row r="79" spans="1:30" hidden="1" x14ac:dyDescent="0.3">
      <c r="A79" t="s">
        <v>34</v>
      </c>
      <c r="B79">
        <v>2015</v>
      </c>
      <c r="C79" t="s">
        <v>35</v>
      </c>
      <c r="D79" s="4">
        <v>123.7</v>
      </c>
      <c r="E79" s="4">
        <v>125.1</v>
      </c>
      <c r="F79" s="4">
        <v>121.1</v>
      </c>
      <c r="G79" s="4">
        <v>125.7</v>
      </c>
      <c r="H79" s="4">
        <v>109.1</v>
      </c>
      <c r="I79" s="4">
        <v>125.8</v>
      </c>
      <c r="J79" s="4">
        <v>129.4</v>
      </c>
      <c r="K79" s="4">
        <v>120.9</v>
      </c>
      <c r="L79" s="4">
        <v>98.3</v>
      </c>
      <c r="M79" s="4">
        <v>121.6</v>
      </c>
      <c r="N79" s="4">
        <v>118</v>
      </c>
      <c r="O79" s="4">
        <v>127.6</v>
      </c>
      <c r="P79" s="4">
        <v>123.1</v>
      </c>
      <c r="Q79" s="4">
        <v>125.2</v>
      </c>
      <c r="R79" s="4">
        <v>123.8</v>
      </c>
      <c r="S79" s="4">
        <v>120.1</v>
      </c>
      <c r="T79" s="4">
        <v>123.3</v>
      </c>
      <c r="U79" s="4">
        <v>118.1</v>
      </c>
      <c r="V79" s="4">
        <v>117.7</v>
      </c>
      <c r="W79" s="4">
        <v>118.7</v>
      </c>
      <c r="X79" s="4">
        <v>116.3</v>
      </c>
      <c r="Y79" s="4">
        <v>108.7</v>
      </c>
      <c r="Z79" s="4">
        <v>114.9</v>
      </c>
      <c r="AA79" s="4">
        <v>119.7</v>
      </c>
      <c r="AB79" s="4">
        <v>111.2</v>
      </c>
      <c r="AC79" s="4">
        <v>114.1</v>
      </c>
      <c r="AD79" s="4">
        <v>119.7</v>
      </c>
    </row>
    <row r="80" spans="1:30" hidden="1" x14ac:dyDescent="0.3">
      <c r="A80" t="s">
        <v>30</v>
      </c>
      <c r="B80">
        <v>2015</v>
      </c>
      <c r="C80" t="s">
        <v>36</v>
      </c>
      <c r="D80" s="4">
        <v>123.3</v>
      </c>
      <c r="E80" s="4">
        <v>124.7</v>
      </c>
      <c r="F80" s="4">
        <v>118.9</v>
      </c>
      <c r="G80" s="4">
        <v>126</v>
      </c>
      <c r="H80" s="4">
        <v>111.8</v>
      </c>
      <c r="I80" s="4">
        <v>130.9</v>
      </c>
      <c r="J80" s="4">
        <v>128</v>
      </c>
      <c r="K80" s="4">
        <v>119.9</v>
      </c>
      <c r="L80" s="4">
        <v>98.9</v>
      </c>
      <c r="M80" s="4">
        <v>119.4</v>
      </c>
      <c r="N80" s="4">
        <v>118.9</v>
      </c>
      <c r="O80" s="4">
        <v>127.7</v>
      </c>
      <c r="P80" s="4">
        <v>123.1</v>
      </c>
      <c r="Q80" s="4">
        <v>124.7</v>
      </c>
      <c r="R80" s="4">
        <v>126</v>
      </c>
      <c r="S80" s="4">
        <v>122.9</v>
      </c>
      <c r="T80" s="4">
        <v>125.5</v>
      </c>
      <c r="U80" s="4">
        <v>118.6</v>
      </c>
      <c r="V80" s="4">
        <v>120.6</v>
      </c>
      <c r="W80" s="4">
        <v>120.2</v>
      </c>
      <c r="X80" s="4">
        <v>118.2</v>
      </c>
      <c r="Y80" s="4">
        <v>111.6</v>
      </c>
      <c r="Z80" s="4">
        <v>115.5</v>
      </c>
      <c r="AA80" s="4">
        <v>119.4</v>
      </c>
      <c r="AB80" s="4">
        <v>110.8</v>
      </c>
      <c r="AC80" s="4">
        <v>115.5</v>
      </c>
      <c r="AD80" s="4">
        <v>121.1</v>
      </c>
    </row>
    <row r="81" spans="1:30" hidden="1" x14ac:dyDescent="0.3">
      <c r="A81" t="s">
        <v>33</v>
      </c>
      <c r="B81">
        <v>2015</v>
      </c>
      <c r="C81" t="s">
        <v>36</v>
      </c>
      <c r="D81" s="4">
        <v>124</v>
      </c>
      <c r="E81" s="4">
        <v>126.7</v>
      </c>
      <c r="F81" s="4">
        <v>113.5</v>
      </c>
      <c r="G81" s="4">
        <v>125.9</v>
      </c>
      <c r="H81" s="4">
        <v>104.8</v>
      </c>
      <c r="I81" s="4">
        <v>123.8</v>
      </c>
      <c r="J81" s="4">
        <v>131.4</v>
      </c>
      <c r="K81" s="4">
        <v>127.2</v>
      </c>
      <c r="L81" s="4">
        <v>93.2</v>
      </c>
      <c r="M81" s="4">
        <v>127.4</v>
      </c>
      <c r="N81" s="4">
        <v>117</v>
      </c>
      <c r="O81" s="4">
        <v>129.19999999999999</v>
      </c>
      <c r="P81" s="4">
        <v>123.9</v>
      </c>
      <c r="Q81" s="4">
        <v>128.80000000000001</v>
      </c>
      <c r="R81" s="4">
        <v>121.7</v>
      </c>
      <c r="S81" s="4">
        <v>116.9</v>
      </c>
      <c r="T81" s="4">
        <v>120.9</v>
      </c>
      <c r="U81" s="4">
        <v>118.6</v>
      </c>
      <c r="V81" s="4">
        <v>114.4</v>
      </c>
      <c r="W81" s="4">
        <v>118</v>
      </c>
      <c r="X81" s="4">
        <v>114.3</v>
      </c>
      <c r="Y81" s="4">
        <v>108.4</v>
      </c>
      <c r="Z81" s="4">
        <v>115.4</v>
      </c>
      <c r="AA81" s="4">
        <v>120.6</v>
      </c>
      <c r="AB81" s="4">
        <v>111.3</v>
      </c>
      <c r="AC81" s="4">
        <v>113.8</v>
      </c>
      <c r="AD81" s="4">
        <v>119.1</v>
      </c>
    </row>
    <row r="82" spans="1:30" hidden="1" x14ac:dyDescent="0.3">
      <c r="A82" t="s">
        <v>34</v>
      </c>
      <c r="B82">
        <v>2015</v>
      </c>
      <c r="C82" t="s">
        <v>36</v>
      </c>
      <c r="D82" s="4">
        <v>123.5</v>
      </c>
      <c r="E82" s="4">
        <v>125.4</v>
      </c>
      <c r="F82" s="4">
        <v>116.8</v>
      </c>
      <c r="G82" s="4">
        <v>126</v>
      </c>
      <c r="H82" s="4">
        <v>109.2</v>
      </c>
      <c r="I82" s="4">
        <v>127.6</v>
      </c>
      <c r="J82" s="4">
        <v>129.19999999999999</v>
      </c>
      <c r="K82" s="4">
        <v>122.4</v>
      </c>
      <c r="L82" s="4">
        <v>97</v>
      </c>
      <c r="M82" s="4">
        <v>122.1</v>
      </c>
      <c r="N82" s="4">
        <v>118.1</v>
      </c>
      <c r="O82" s="4">
        <v>128.4</v>
      </c>
      <c r="P82" s="4">
        <v>123.4</v>
      </c>
      <c r="Q82" s="4">
        <v>125.8</v>
      </c>
      <c r="R82" s="4">
        <v>124.3</v>
      </c>
      <c r="S82" s="4">
        <v>120.4</v>
      </c>
      <c r="T82" s="4">
        <v>123.7</v>
      </c>
      <c r="U82" s="4">
        <v>118.6</v>
      </c>
      <c r="V82" s="4">
        <v>118.3</v>
      </c>
      <c r="W82" s="4">
        <v>119.2</v>
      </c>
      <c r="X82" s="4">
        <v>116.7</v>
      </c>
      <c r="Y82" s="4">
        <v>109.9</v>
      </c>
      <c r="Z82" s="4">
        <v>115.4</v>
      </c>
      <c r="AA82" s="4">
        <v>120.1</v>
      </c>
      <c r="AB82" s="4">
        <v>111</v>
      </c>
      <c r="AC82" s="4">
        <v>114.7</v>
      </c>
      <c r="AD82" s="4">
        <v>120.2</v>
      </c>
    </row>
    <row r="83" spans="1:30" hidden="1" x14ac:dyDescent="0.3">
      <c r="A83" t="s">
        <v>30</v>
      </c>
      <c r="B83">
        <v>2015</v>
      </c>
      <c r="C83" t="s">
        <v>37</v>
      </c>
      <c r="D83" s="4">
        <v>123.3</v>
      </c>
      <c r="E83" s="4">
        <v>125.5</v>
      </c>
      <c r="F83" s="4">
        <v>117.2</v>
      </c>
      <c r="G83" s="4">
        <v>126.8</v>
      </c>
      <c r="H83" s="4">
        <v>111.9</v>
      </c>
      <c r="I83" s="4">
        <v>134.19999999999999</v>
      </c>
      <c r="J83" s="4">
        <v>127.5</v>
      </c>
      <c r="K83" s="4">
        <v>121.5</v>
      </c>
      <c r="L83" s="4">
        <v>97.8</v>
      </c>
      <c r="M83" s="4">
        <v>119.8</v>
      </c>
      <c r="N83" s="4">
        <v>119.4</v>
      </c>
      <c r="O83" s="4">
        <v>128.69999999999999</v>
      </c>
      <c r="P83" s="4">
        <v>123.6</v>
      </c>
      <c r="Q83" s="4">
        <v>125.7</v>
      </c>
      <c r="R83" s="4">
        <v>126.4</v>
      </c>
      <c r="S83" s="4">
        <v>123.3</v>
      </c>
      <c r="T83" s="4">
        <v>126</v>
      </c>
      <c r="U83" s="4">
        <v>119.2</v>
      </c>
      <c r="V83" s="4">
        <v>121.2</v>
      </c>
      <c r="W83" s="4">
        <v>120.9</v>
      </c>
      <c r="X83" s="4">
        <v>118.6</v>
      </c>
      <c r="Y83" s="4">
        <v>111.9</v>
      </c>
      <c r="Z83" s="4">
        <v>116.2</v>
      </c>
      <c r="AA83" s="4">
        <v>119.9</v>
      </c>
      <c r="AB83" s="4">
        <v>111.6</v>
      </c>
      <c r="AC83" s="4">
        <v>116</v>
      </c>
      <c r="AD83" s="4">
        <v>121.5</v>
      </c>
    </row>
    <row r="84" spans="1:30" hidden="1" x14ac:dyDescent="0.3">
      <c r="A84" t="s">
        <v>33</v>
      </c>
      <c r="B84">
        <v>2015</v>
      </c>
      <c r="C84" t="s">
        <v>37</v>
      </c>
      <c r="D84" s="4">
        <v>123.8</v>
      </c>
      <c r="E84" s="4">
        <v>128.19999999999999</v>
      </c>
      <c r="F84" s="4">
        <v>110</v>
      </c>
      <c r="G84" s="4">
        <v>126.3</v>
      </c>
      <c r="H84" s="4">
        <v>104.5</v>
      </c>
      <c r="I84" s="4">
        <v>130.6</v>
      </c>
      <c r="J84" s="4">
        <v>130.80000000000001</v>
      </c>
      <c r="K84" s="4">
        <v>131.30000000000001</v>
      </c>
      <c r="L84" s="4">
        <v>91.6</v>
      </c>
      <c r="M84" s="4">
        <v>127.7</v>
      </c>
      <c r="N84" s="4">
        <v>117.2</v>
      </c>
      <c r="O84" s="4">
        <v>129.5</v>
      </c>
      <c r="P84" s="4">
        <v>124.6</v>
      </c>
      <c r="Q84" s="4">
        <v>130.1</v>
      </c>
      <c r="R84" s="4">
        <v>122.1</v>
      </c>
      <c r="S84" s="4">
        <v>117.2</v>
      </c>
      <c r="T84" s="4">
        <v>121.3</v>
      </c>
      <c r="U84" s="4">
        <v>119.2</v>
      </c>
      <c r="V84" s="4">
        <v>114.7</v>
      </c>
      <c r="W84" s="4">
        <v>118.4</v>
      </c>
      <c r="X84" s="4">
        <v>114.6</v>
      </c>
      <c r="Y84" s="4">
        <v>108.4</v>
      </c>
      <c r="Z84" s="4">
        <v>115.6</v>
      </c>
      <c r="AA84" s="4">
        <v>121.7</v>
      </c>
      <c r="AB84" s="4">
        <v>111.8</v>
      </c>
      <c r="AC84" s="4">
        <v>114.2</v>
      </c>
      <c r="AD84" s="4">
        <v>119.7</v>
      </c>
    </row>
    <row r="85" spans="1:30" hidden="1" x14ac:dyDescent="0.3">
      <c r="A85" t="s">
        <v>34</v>
      </c>
      <c r="B85">
        <v>2015</v>
      </c>
      <c r="C85" t="s">
        <v>37</v>
      </c>
      <c r="D85" s="4">
        <v>123.5</v>
      </c>
      <c r="E85" s="4">
        <v>126.4</v>
      </c>
      <c r="F85" s="4">
        <v>114.4</v>
      </c>
      <c r="G85" s="4">
        <v>126.6</v>
      </c>
      <c r="H85" s="4">
        <v>109.2</v>
      </c>
      <c r="I85" s="4">
        <v>132.5</v>
      </c>
      <c r="J85" s="4">
        <v>128.6</v>
      </c>
      <c r="K85" s="4">
        <v>124.8</v>
      </c>
      <c r="L85" s="4">
        <v>95.7</v>
      </c>
      <c r="M85" s="4">
        <v>122.4</v>
      </c>
      <c r="N85" s="4">
        <v>118.5</v>
      </c>
      <c r="O85" s="4">
        <v>129.1</v>
      </c>
      <c r="P85" s="4">
        <v>124</v>
      </c>
      <c r="Q85" s="4">
        <v>126.9</v>
      </c>
      <c r="R85" s="4">
        <v>124.7</v>
      </c>
      <c r="S85" s="4">
        <v>120.8</v>
      </c>
      <c r="T85" s="4">
        <v>124.1</v>
      </c>
      <c r="U85" s="4">
        <v>119.2</v>
      </c>
      <c r="V85" s="4">
        <v>118.7</v>
      </c>
      <c r="W85" s="4">
        <v>119.7</v>
      </c>
      <c r="X85" s="4">
        <v>117.1</v>
      </c>
      <c r="Y85" s="4">
        <v>110.1</v>
      </c>
      <c r="Z85" s="4">
        <v>115.9</v>
      </c>
      <c r="AA85" s="4">
        <v>121</v>
      </c>
      <c r="AB85" s="4">
        <v>111.7</v>
      </c>
      <c r="AC85" s="4">
        <v>115.1</v>
      </c>
      <c r="AD85" s="4">
        <v>120.7</v>
      </c>
    </row>
    <row r="86" spans="1:30" hidden="1" x14ac:dyDescent="0.3">
      <c r="A86" t="s">
        <v>30</v>
      </c>
      <c r="B86">
        <v>2015</v>
      </c>
      <c r="C86" t="s">
        <v>38</v>
      </c>
      <c r="D86" s="4">
        <v>123.5</v>
      </c>
      <c r="E86" s="4">
        <v>127.1</v>
      </c>
      <c r="F86" s="4">
        <v>117.3</v>
      </c>
      <c r="G86" s="4">
        <v>127.7</v>
      </c>
      <c r="H86" s="4">
        <v>112.5</v>
      </c>
      <c r="I86" s="4">
        <v>134.1</v>
      </c>
      <c r="J86" s="4">
        <v>128.5</v>
      </c>
      <c r="K86" s="4">
        <v>124.3</v>
      </c>
      <c r="L86" s="4">
        <v>97.6</v>
      </c>
      <c r="M86" s="4">
        <v>120.7</v>
      </c>
      <c r="N86" s="4">
        <v>120.2</v>
      </c>
      <c r="O86" s="4">
        <v>129.80000000000001</v>
      </c>
      <c r="P86" s="4">
        <v>124.4</v>
      </c>
      <c r="Q86" s="4">
        <v>126.7</v>
      </c>
      <c r="R86" s="4">
        <v>127.3</v>
      </c>
      <c r="S86" s="4">
        <v>124.1</v>
      </c>
      <c r="T86" s="4">
        <v>126.8</v>
      </c>
      <c r="U86" s="4">
        <v>119.6</v>
      </c>
      <c r="V86" s="4">
        <v>121.9</v>
      </c>
      <c r="W86" s="4">
        <v>121.5</v>
      </c>
      <c r="X86" s="4">
        <v>119.4</v>
      </c>
      <c r="Y86" s="4">
        <v>113.3</v>
      </c>
      <c r="Z86" s="4">
        <v>116.7</v>
      </c>
      <c r="AA86" s="4">
        <v>120.5</v>
      </c>
      <c r="AB86" s="4">
        <v>112.3</v>
      </c>
      <c r="AC86" s="4">
        <v>116.9</v>
      </c>
      <c r="AD86" s="4">
        <v>122.4</v>
      </c>
    </row>
    <row r="87" spans="1:30" hidden="1" x14ac:dyDescent="0.3">
      <c r="A87" t="s">
        <v>33</v>
      </c>
      <c r="B87">
        <v>2015</v>
      </c>
      <c r="C87" t="s">
        <v>38</v>
      </c>
      <c r="D87" s="4">
        <v>123.8</v>
      </c>
      <c r="E87" s="4">
        <v>129.69999999999999</v>
      </c>
      <c r="F87" s="4">
        <v>111.3</v>
      </c>
      <c r="G87" s="4">
        <v>126.6</v>
      </c>
      <c r="H87" s="4">
        <v>105.2</v>
      </c>
      <c r="I87" s="4">
        <v>130.80000000000001</v>
      </c>
      <c r="J87" s="4">
        <v>135.6</v>
      </c>
      <c r="K87" s="4">
        <v>142.6</v>
      </c>
      <c r="L87" s="4">
        <v>90.8</v>
      </c>
      <c r="M87" s="4">
        <v>128.80000000000001</v>
      </c>
      <c r="N87" s="4">
        <v>117.7</v>
      </c>
      <c r="O87" s="4">
        <v>129.9</v>
      </c>
      <c r="P87" s="4">
        <v>126.1</v>
      </c>
      <c r="Q87" s="4">
        <v>131.30000000000001</v>
      </c>
      <c r="R87" s="4">
        <v>122.4</v>
      </c>
      <c r="S87" s="4">
        <v>117.4</v>
      </c>
      <c r="T87" s="4">
        <v>121.6</v>
      </c>
      <c r="U87" s="4">
        <v>119.6</v>
      </c>
      <c r="V87" s="4">
        <v>114.9</v>
      </c>
      <c r="W87" s="4">
        <v>118.7</v>
      </c>
      <c r="X87" s="4">
        <v>114.9</v>
      </c>
      <c r="Y87" s="4">
        <v>110.8</v>
      </c>
      <c r="Z87" s="4">
        <v>116</v>
      </c>
      <c r="AA87" s="4">
        <v>122</v>
      </c>
      <c r="AB87" s="4">
        <v>112.4</v>
      </c>
      <c r="AC87" s="4">
        <v>115.2</v>
      </c>
      <c r="AD87" s="4">
        <v>120.7</v>
      </c>
    </row>
    <row r="88" spans="1:30" hidden="1" x14ac:dyDescent="0.3">
      <c r="A88" t="s">
        <v>34</v>
      </c>
      <c r="B88">
        <v>2015</v>
      </c>
      <c r="C88" t="s">
        <v>38</v>
      </c>
      <c r="D88" s="4">
        <v>123.6</v>
      </c>
      <c r="E88" s="4">
        <v>128</v>
      </c>
      <c r="F88" s="4">
        <v>115</v>
      </c>
      <c r="G88" s="4">
        <v>127.3</v>
      </c>
      <c r="H88" s="4">
        <v>109.8</v>
      </c>
      <c r="I88" s="4">
        <v>132.6</v>
      </c>
      <c r="J88" s="4">
        <v>130.9</v>
      </c>
      <c r="K88" s="4">
        <v>130.5</v>
      </c>
      <c r="L88" s="4">
        <v>95.3</v>
      </c>
      <c r="M88" s="4">
        <v>123.4</v>
      </c>
      <c r="N88" s="4">
        <v>119.2</v>
      </c>
      <c r="O88" s="4">
        <v>129.80000000000001</v>
      </c>
      <c r="P88" s="4">
        <v>125</v>
      </c>
      <c r="Q88" s="4">
        <v>127.9</v>
      </c>
      <c r="R88" s="4">
        <v>125.4</v>
      </c>
      <c r="S88" s="4">
        <v>121.3</v>
      </c>
      <c r="T88" s="4">
        <v>124.7</v>
      </c>
      <c r="U88" s="4">
        <v>119.6</v>
      </c>
      <c r="V88" s="4">
        <v>119.2</v>
      </c>
      <c r="W88" s="4">
        <v>120.2</v>
      </c>
      <c r="X88" s="4">
        <v>117.7</v>
      </c>
      <c r="Y88" s="4">
        <v>112</v>
      </c>
      <c r="Z88" s="4">
        <v>116.3</v>
      </c>
      <c r="AA88" s="4">
        <v>121.4</v>
      </c>
      <c r="AB88" s="4">
        <v>112.3</v>
      </c>
      <c r="AC88" s="4">
        <v>116.1</v>
      </c>
      <c r="AD88" s="4">
        <v>121.6</v>
      </c>
    </row>
    <row r="89" spans="1:30" hidden="1" x14ac:dyDescent="0.3">
      <c r="A89" t="s">
        <v>30</v>
      </c>
      <c r="B89">
        <v>2015</v>
      </c>
      <c r="C89" t="s">
        <v>39</v>
      </c>
      <c r="D89" s="4">
        <v>124.1</v>
      </c>
      <c r="E89" s="4">
        <v>130.4</v>
      </c>
      <c r="F89" s="4">
        <v>122.1</v>
      </c>
      <c r="G89" s="4">
        <v>128.69999999999999</v>
      </c>
      <c r="H89" s="4">
        <v>114.1</v>
      </c>
      <c r="I89" s="4">
        <v>133.19999999999999</v>
      </c>
      <c r="J89" s="4">
        <v>135.19999999999999</v>
      </c>
      <c r="K89" s="4">
        <v>131.9</v>
      </c>
      <c r="L89" s="4">
        <v>96.3</v>
      </c>
      <c r="M89" s="4">
        <v>123</v>
      </c>
      <c r="N89" s="4">
        <v>121.1</v>
      </c>
      <c r="O89" s="4">
        <v>131.19999999999999</v>
      </c>
      <c r="P89" s="4">
        <v>126.6</v>
      </c>
      <c r="Q89" s="4">
        <v>128.19999999999999</v>
      </c>
      <c r="R89" s="4">
        <v>128.4</v>
      </c>
      <c r="S89" s="4">
        <v>125.1</v>
      </c>
      <c r="T89" s="4">
        <v>128</v>
      </c>
      <c r="U89" s="4">
        <v>119</v>
      </c>
      <c r="V89" s="4">
        <v>122.6</v>
      </c>
      <c r="W89" s="4">
        <v>122.8</v>
      </c>
      <c r="X89" s="4">
        <v>120.4</v>
      </c>
      <c r="Y89" s="4">
        <v>114.2</v>
      </c>
      <c r="Z89" s="4">
        <v>117.9</v>
      </c>
      <c r="AA89" s="4">
        <v>122</v>
      </c>
      <c r="AB89" s="4">
        <v>113</v>
      </c>
      <c r="AC89" s="4">
        <v>117.9</v>
      </c>
      <c r="AD89" s="4">
        <v>124.1</v>
      </c>
    </row>
    <row r="90" spans="1:30" hidden="1" x14ac:dyDescent="0.3">
      <c r="A90" t="s">
        <v>33</v>
      </c>
      <c r="B90">
        <v>2015</v>
      </c>
      <c r="C90" t="s">
        <v>39</v>
      </c>
      <c r="D90" s="4">
        <v>123.6</v>
      </c>
      <c r="E90" s="4">
        <v>134.4</v>
      </c>
      <c r="F90" s="4">
        <v>120.9</v>
      </c>
      <c r="G90" s="4">
        <v>127.3</v>
      </c>
      <c r="H90" s="4">
        <v>106</v>
      </c>
      <c r="I90" s="4">
        <v>132.30000000000001</v>
      </c>
      <c r="J90" s="4">
        <v>146.69999999999999</v>
      </c>
      <c r="K90" s="4">
        <v>148.1</v>
      </c>
      <c r="L90" s="4">
        <v>89.8</v>
      </c>
      <c r="M90" s="4">
        <v>130.5</v>
      </c>
      <c r="N90" s="4">
        <v>118</v>
      </c>
      <c r="O90" s="4">
        <v>130.5</v>
      </c>
      <c r="P90" s="4">
        <v>128.5</v>
      </c>
      <c r="Q90" s="4">
        <v>132.1</v>
      </c>
      <c r="R90" s="4">
        <v>123.2</v>
      </c>
      <c r="S90" s="4">
        <v>117.6</v>
      </c>
      <c r="T90" s="4">
        <v>122.3</v>
      </c>
      <c r="U90" s="4">
        <v>119</v>
      </c>
      <c r="V90" s="4">
        <v>115.1</v>
      </c>
      <c r="W90" s="4">
        <v>119.2</v>
      </c>
      <c r="X90" s="4">
        <v>115.4</v>
      </c>
      <c r="Y90" s="4">
        <v>111.7</v>
      </c>
      <c r="Z90" s="4">
        <v>116.2</v>
      </c>
      <c r="AA90" s="4">
        <v>123.8</v>
      </c>
      <c r="AB90" s="4">
        <v>112.5</v>
      </c>
      <c r="AC90" s="4">
        <v>116</v>
      </c>
      <c r="AD90" s="4">
        <v>121.7</v>
      </c>
    </row>
    <row r="91" spans="1:30" hidden="1" x14ac:dyDescent="0.3">
      <c r="A91" t="s">
        <v>34</v>
      </c>
      <c r="B91">
        <v>2015</v>
      </c>
      <c r="C91" t="s">
        <v>39</v>
      </c>
      <c r="D91" s="4">
        <v>123.9</v>
      </c>
      <c r="E91" s="4">
        <v>131.80000000000001</v>
      </c>
      <c r="F91" s="4">
        <v>121.6</v>
      </c>
      <c r="G91" s="4">
        <v>128.19999999999999</v>
      </c>
      <c r="H91" s="4">
        <v>111.1</v>
      </c>
      <c r="I91" s="4">
        <v>132.80000000000001</v>
      </c>
      <c r="J91" s="4">
        <v>139.1</v>
      </c>
      <c r="K91" s="4">
        <v>137.4</v>
      </c>
      <c r="L91" s="4">
        <v>94.1</v>
      </c>
      <c r="M91" s="4">
        <v>125.5</v>
      </c>
      <c r="N91" s="4">
        <v>119.8</v>
      </c>
      <c r="O91" s="4">
        <v>130.9</v>
      </c>
      <c r="P91" s="4">
        <v>127.3</v>
      </c>
      <c r="Q91" s="4">
        <v>129.19999999999999</v>
      </c>
      <c r="R91" s="4">
        <v>126.4</v>
      </c>
      <c r="S91" s="4">
        <v>122</v>
      </c>
      <c r="T91" s="4">
        <v>125.7</v>
      </c>
      <c r="U91" s="4">
        <v>119</v>
      </c>
      <c r="V91" s="4">
        <v>119.8</v>
      </c>
      <c r="W91" s="4">
        <v>121.1</v>
      </c>
      <c r="X91" s="4">
        <v>118.5</v>
      </c>
      <c r="Y91" s="4">
        <v>112.9</v>
      </c>
      <c r="Z91" s="4">
        <v>116.9</v>
      </c>
      <c r="AA91" s="4">
        <v>123.1</v>
      </c>
      <c r="AB91" s="4">
        <v>112.8</v>
      </c>
      <c r="AC91" s="4">
        <v>117</v>
      </c>
      <c r="AD91" s="4">
        <v>123</v>
      </c>
    </row>
    <row r="92" spans="1:30" hidden="1" x14ac:dyDescent="0.3">
      <c r="A92" t="s">
        <v>30</v>
      </c>
      <c r="B92">
        <v>2015</v>
      </c>
      <c r="C92" t="s">
        <v>40</v>
      </c>
      <c r="D92" s="4">
        <v>124</v>
      </c>
      <c r="E92" s="4">
        <v>131.5</v>
      </c>
      <c r="F92" s="4">
        <v>122</v>
      </c>
      <c r="G92" s="4">
        <v>128.69999999999999</v>
      </c>
      <c r="H92" s="4">
        <v>113.5</v>
      </c>
      <c r="I92" s="4">
        <v>133.30000000000001</v>
      </c>
      <c r="J92" s="4">
        <v>140.80000000000001</v>
      </c>
      <c r="K92" s="4">
        <v>133.80000000000001</v>
      </c>
      <c r="L92" s="4">
        <v>94.1</v>
      </c>
      <c r="M92" s="4">
        <v>123.4</v>
      </c>
      <c r="N92" s="4">
        <v>121</v>
      </c>
      <c r="O92" s="4">
        <v>131.69999999999999</v>
      </c>
      <c r="P92" s="4">
        <v>127.5</v>
      </c>
      <c r="Q92" s="4">
        <v>129.4</v>
      </c>
      <c r="R92" s="4">
        <v>128.80000000000001</v>
      </c>
      <c r="S92" s="4">
        <v>125.5</v>
      </c>
      <c r="T92" s="4">
        <v>128.30000000000001</v>
      </c>
      <c r="U92" s="4">
        <v>119.9</v>
      </c>
      <c r="V92" s="4">
        <v>123</v>
      </c>
      <c r="W92" s="4">
        <v>123</v>
      </c>
      <c r="X92" s="4">
        <v>120.8</v>
      </c>
      <c r="Y92" s="4">
        <v>114.1</v>
      </c>
      <c r="Z92" s="4">
        <v>118</v>
      </c>
      <c r="AA92" s="4">
        <v>122.9</v>
      </c>
      <c r="AB92" s="4">
        <v>112.7</v>
      </c>
      <c r="AC92" s="4">
        <v>118.1</v>
      </c>
      <c r="AD92" s="4">
        <v>124.7</v>
      </c>
    </row>
    <row r="93" spans="1:30" hidden="1" x14ac:dyDescent="0.3">
      <c r="A93" t="s">
        <v>33</v>
      </c>
      <c r="B93">
        <v>2015</v>
      </c>
      <c r="C93" t="s">
        <v>40</v>
      </c>
      <c r="D93" s="4">
        <v>123.2</v>
      </c>
      <c r="E93" s="4">
        <v>134.30000000000001</v>
      </c>
      <c r="F93" s="4">
        <v>119.5</v>
      </c>
      <c r="G93" s="4">
        <v>127.7</v>
      </c>
      <c r="H93" s="4">
        <v>106.3</v>
      </c>
      <c r="I93" s="4">
        <v>132.80000000000001</v>
      </c>
      <c r="J93" s="4">
        <v>153.5</v>
      </c>
      <c r="K93" s="4">
        <v>149.5</v>
      </c>
      <c r="L93" s="4">
        <v>85.7</v>
      </c>
      <c r="M93" s="4">
        <v>131.5</v>
      </c>
      <c r="N93" s="4">
        <v>118.3</v>
      </c>
      <c r="O93" s="4">
        <v>131.1</v>
      </c>
      <c r="P93" s="4">
        <v>129.5</v>
      </c>
      <c r="Q93" s="4">
        <v>133.1</v>
      </c>
      <c r="R93" s="4">
        <v>123.5</v>
      </c>
      <c r="S93" s="4">
        <v>117.9</v>
      </c>
      <c r="T93" s="4">
        <v>122.7</v>
      </c>
      <c r="U93" s="4">
        <v>119.9</v>
      </c>
      <c r="V93" s="4">
        <v>115.3</v>
      </c>
      <c r="W93" s="4">
        <v>119.5</v>
      </c>
      <c r="X93" s="4">
        <v>116</v>
      </c>
      <c r="Y93" s="4">
        <v>111.5</v>
      </c>
      <c r="Z93" s="4">
        <v>116.6</v>
      </c>
      <c r="AA93" s="4">
        <v>125.4</v>
      </c>
      <c r="AB93" s="4">
        <v>111.7</v>
      </c>
      <c r="AC93" s="4">
        <v>116.3</v>
      </c>
      <c r="AD93" s="4">
        <v>122.4</v>
      </c>
    </row>
    <row r="94" spans="1:30" hidden="1" x14ac:dyDescent="0.3">
      <c r="A94" t="s">
        <v>34</v>
      </c>
      <c r="B94">
        <v>2015</v>
      </c>
      <c r="C94" t="s">
        <v>40</v>
      </c>
      <c r="D94" s="4">
        <v>123.7</v>
      </c>
      <c r="E94" s="4">
        <v>132.5</v>
      </c>
      <c r="F94" s="4">
        <v>121</v>
      </c>
      <c r="G94" s="4">
        <v>128.30000000000001</v>
      </c>
      <c r="H94" s="4">
        <v>110.9</v>
      </c>
      <c r="I94" s="4">
        <v>133.1</v>
      </c>
      <c r="J94" s="4">
        <v>145.1</v>
      </c>
      <c r="K94" s="4">
        <v>139.1</v>
      </c>
      <c r="L94" s="4">
        <v>91.3</v>
      </c>
      <c r="M94" s="4">
        <v>126.1</v>
      </c>
      <c r="N94" s="4">
        <v>119.9</v>
      </c>
      <c r="O94" s="4">
        <v>131.4</v>
      </c>
      <c r="P94" s="4">
        <v>128.19999999999999</v>
      </c>
      <c r="Q94" s="4">
        <v>130.4</v>
      </c>
      <c r="R94" s="4">
        <v>126.7</v>
      </c>
      <c r="S94" s="4">
        <v>122.3</v>
      </c>
      <c r="T94" s="4">
        <v>126.1</v>
      </c>
      <c r="U94" s="4">
        <v>119.9</v>
      </c>
      <c r="V94" s="4">
        <v>120.1</v>
      </c>
      <c r="W94" s="4">
        <v>121.3</v>
      </c>
      <c r="X94" s="4">
        <v>119</v>
      </c>
      <c r="Y94" s="4">
        <v>112.7</v>
      </c>
      <c r="Z94" s="4">
        <v>117.2</v>
      </c>
      <c r="AA94" s="4">
        <v>124.4</v>
      </c>
      <c r="AB94" s="4">
        <v>112.3</v>
      </c>
      <c r="AC94" s="4">
        <v>117.2</v>
      </c>
      <c r="AD94" s="4">
        <v>123.6</v>
      </c>
    </row>
    <row r="95" spans="1:30" hidden="1" x14ac:dyDescent="0.3">
      <c r="A95" t="s">
        <v>30</v>
      </c>
      <c r="B95">
        <v>2015</v>
      </c>
      <c r="C95" t="s">
        <v>41</v>
      </c>
      <c r="D95" s="4">
        <v>124.7</v>
      </c>
      <c r="E95" s="4">
        <v>131.30000000000001</v>
      </c>
      <c r="F95" s="4">
        <v>121.3</v>
      </c>
      <c r="G95" s="4">
        <v>128.80000000000001</v>
      </c>
      <c r="H95" s="4">
        <v>114</v>
      </c>
      <c r="I95" s="4">
        <v>134.19999999999999</v>
      </c>
      <c r="J95" s="4">
        <v>153.6</v>
      </c>
      <c r="K95" s="4">
        <v>137.9</v>
      </c>
      <c r="L95" s="4">
        <v>93.1</v>
      </c>
      <c r="M95" s="4">
        <v>123.9</v>
      </c>
      <c r="N95" s="4">
        <v>121.5</v>
      </c>
      <c r="O95" s="4">
        <v>132.5</v>
      </c>
      <c r="P95" s="4">
        <v>129.80000000000001</v>
      </c>
      <c r="Q95" s="4">
        <v>130.1</v>
      </c>
      <c r="R95" s="4">
        <v>129.5</v>
      </c>
      <c r="S95" s="4">
        <v>126.3</v>
      </c>
      <c r="T95" s="4">
        <v>129</v>
      </c>
      <c r="U95" s="4">
        <v>120.9</v>
      </c>
      <c r="V95" s="4">
        <v>123.8</v>
      </c>
      <c r="W95" s="4">
        <v>123.7</v>
      </c>
      <c r="X95" s="4">
        <v>121.1</v>
      </c>
      <c r="Y95" s="4">
        <v>113.6</v>
      </c>
      <c r="Z95" s="4">
        <v>118.5</v>
      </c>
      <c r="AA95" s="4">
        <v>123.6</v>
      </c>
      <c r="AB95" s="4">
        <v>112.5</v>
      </c>
      <c r="AC95" s="4">
        <v>118.2</v>
      </c>
      <c r="AD95" s="4">
        <v>126.1</v>
      </c>
    </row>
    <row r="96" spans="1:30" hidden="1" x14ac:dyDescent="0.3">
      <c r="A96" t="s">
        <v>33</v>
      </c>
      <c r="B96">
        <v>2015</v>
      </c>
      <c r="C96" t="s">
        <v>41</v>
      </c>
      <c r="D96" s="4">
        <v>123.1</v>
      </c>
      <c r="E96" s="4">
        <v>131.69999999999999</v>
      </c>
      <c r="F96" s="4">
        <v>118.1</v>
      </c>
      <c r="G96" s="4">
        <v>128</v>
      </c>
      <c r="H96" s="4">
        <v>106.8</v>
      </c>
      <c r="I96" s="4">
        <v>130.1</v>
      </c>
      <c r="J96" s="4">
        <v>165.5</v>
      </c>
      <c r="K96" s="4">
        <v>156</v>
      </c>
      <c r="L96" s="4">
        <v>85.3</v>
      </c>
      <c r="M96" s="4">
        <v>132.69999999999999</v>
      </c>
      <c r="N96" s="4">
        <v>118.8</v>
      </c>
      <c r="O96" s="4">
        <v>131.69999999999999</v>
      </c>
      <c r="P96" s="4">
        <v>131.1</v>
      </c>
      <c r="Q96" s="4">
        <v>134.19999999999999</v>
      </c>
      <c r="R96" s="4">
        <v>123.7</v>
      </c>
      <c r="S96" s="4">
        <v>118.2</v>
      </c>
      <c r="T96" s="4">
        <v>122.9</v>
      </c>
      <c r="U96" s="4">
        <v>120.9</v>
      </c>
      <c r="V96" s="4">
        <v>115.3</v>
      </c>
      <c r="W96" s="4">
        <v>120</v>
      </c>
      <c r="X96" s="4">
        <v>116.6</v>
      </c>
      <c r="Y96" s="4">
        <v>109.9</v>
      </c>
      <c r="Z96" s="4">
        <v>117.2</v>
      </c>
      <c r="AA96" s="4">
        <v>126.2</v>
      </c>
      <c r="AB96" s="4">
        <v>112</v>
      </c>
      <c r="AC96" s="4">
        <v>116.2</v>
      </c>
      <c r="AD96" s="4">
        <v>123.2</v>
      </c>
    </row>
    <row r="97" spans="1:30" hidden="1" x14ac:dyDescent="0.3">
      <c r="A97" t="s">
        <v>34</v>
      </c>
      <c r="B97">
        <v>2015</v>
      </c>
      <c r="C97" t="s">
        <v>41</v>
      </c>
      <c r="D97" s="4">
        <v>124.2</v>
      </c>
      <c r="E97" s="4">
        <v>131.4</v>
      </c>
      <c r="F97" s="4">
        <v>120.1</v>
      </c>
      <c r="G97" s="4">
        <v>128.5</v>
      </c>
      <c r="H97" s="4">
        <v>111.4</v>
      </c>
      <c r="I97" s="4">
        <v>132.30000000000001</v>
      </c>
      <c r="J97" s="4">
        <v>157.6</v>
      </c>
      <c r="K97" s="4">
        <v>144</v>
      </c>
      <c r="L97" s="4">
        <v>90.5</v>
      </c>
      <c r="M97" s="4">
        <v>126.8</v>
      </c>
      <c r="N97" s="4">
        <v>120.4</v>
      </c>
      <c r="O97" s="4">
        <v>132.1</v>
      </c>
      <c r="P97" s="4">
        <v>130.30000000000001</v>
      </c>
      <c r="Q97" s="4">
        <v>131.19999999999999</v>
      </c>
      <c r="R97" s="4">
        <v>127.2</v>
      </c>
      <c r="S97" s="4">
        <v>122.9</v>
      </c>
      <c r="T97" s="4">
        <v>126.6</v>
      </c>
      <c r="U97" s="4">
        <v>120.9</v>
      </c>
      <c r="V97" s="4">
        <v>120.6</v>
      </c>
      <c r="W97" s="4">
        <v>122</v>
      </c>
      <c r="X97" s="4">
        <v>119.4</v>
      </c>
      <c r="Y97" s="4">
        <v>111.7</v>
      </c>
      <c r="Z97" s="4">
        <v>117.8</v>
      </c>
      <c r="AA97" s="4">
        <v>125.1</v>
      </c>
      <c r="AB97" s="4">
        <v>112.3</v>
      </c>
      <c r="AC97" s="4">
        <v>117.2</v>
      </c>
      <c r="AD97" s="4">
        <v>124.8</v>
      </c>
    </row>
    <row r="98" spans="1:30" hidden="1" x14ac:dyDescent="0.3">
      <c r="A98" t="s">
        <v>30</v>
      </c>
      <c r="B98">
        <v>2015</v>
      </c>
      <c r="C98" t="s">
        <v>42</v>
      </c>
      <c r="D98" s="4">
        <v>125.1</v>
      </c>
      <c r="E98" s="4">
        <v>131.1</v>
      </c>
      <c r="F98" s="4">
        <v>120.7</v>
      </c>
      <c r="G98" s="4">
        <v>129.19999999999999</v>
      </c>
      <c r="H98" s="4">
        <v>114.7</v>
      </c>
      <c r="I98" s="4">
        <v>132.30000000000001</v>
      </c>
      <c r="J98" s="4">
        <v>158.9</v>
      </c>
      <c r="K98" s="4">
        <v>142.1</v>
      </c>
      <c r="L98" s="4">
        <v>92.5</v>
      </c>
      <c r="M98" s="4">
        <v>125.4</v>
      </c>
      <c r="N98" s="4">
        <v>121.9</v>
      </c>
      <c r="O98" s="4">
        <v>132.69999999999999</v>
      </c>
      <c r="P98" s="4">
        <v>131</v>
      </c>
      <c r="Q98" s="4">
        <v>131</v>
      </c>
      <c r="R98" s="4">
        <v>130.4</v>
      </c>
      <c r="S98" s="4">
        <v>126.8</v>
      </c>
      <c r="T98" s="4">
        <v>129.9</v>
      </c>
      <c r="U98" s="4">
        <v>121.6</v>
      </c>
      <c r="V98" s="4">
        <v>123.7</v>
      </c>
      <c r="W98" s="4">
        <v>124.5</v>
      </c>
      <c r="X98" s="4">
        <v>121.4</v>
      </c>
      <c r="Y98" s="4">
        <v>113.8</v>
      </c>
      <c r="Z98" s="4">
        <v>119.6</v>
      </c>
      <c r="AA98" s="4">
        <v>124.5</v>
      </c>
      <c r="AB98" s="4">
        <v>113.7</v>
      </c>
      <c r="AC98" s="4">
        <v>118.8</v>
      </c>
      <c r="AD98" s="4">
        <v>127</v>
      </c>
    </row>
    <row r="99" spans="1:30" hidden="1" x14ac:dyDescent="0.3">
      <c r="A99" t="s">
        <v>33</v>
      </c>
      <c r="B99">
        <v>2015</v>
      </c>
      <c r="C99" t="s">
        <v>42</v>
      </c>
      <c r="D99" s="4">
        <v>123.4</v>
      </c>
      <c r="E99" s="4">
        <v>129</v>
      </c>
      <c r="F99" s="4">
        <v>115.6</v>
      </c>
      <c r="G99" s="4">
        <v>128.30000000000001</v>
      </c>
      <c r="H99" s="4">
        <v>107</v>
      </c>
      <c r="I99" s="4">
        <v>124</v>
      </c>
      <c r="J99" s="4">
        <v>168.5</v>
      </c>
      <c r="K99" s="4">
        <v>165.4</v>
      </c>
      <c r="L99" s="4">
        <v>86.3</v>
      </c>
      <c r="M99" s="4">
        <v>134.4</v>
      </c>
      <c r="N99" s="4">
        <v>119.1</v>
      </c>
      <c r="O99" s="4">
        <v>132.30000000000001</v>
      </c>
      <c r="P99" s="4">
        <v>131.5</v>
      </c>
      <c r="Q99" s="4">
        <v>134.69999999999999</v>
      </c>
      <c r="R99" s="4">
        <v>124</v>
      </c>
      <c r="S99" s="4">
        <v>118.6</v>
      </c>
      <c r="T99" s="4">
        <v>123.2</v>
      </c>
      <c r="U99" s="4">
        <v>121.6</v>
      </c>
      <c r="V99" s="4">
        <v>115.1</v>
      </c>
      <c r="W99" s="4">
        <v>120.4</v>
      </c>
      <c r="X99" s="4">
        <v>117.1</v>
      </c>
      <c r="Y99" s="4">
        <v>109.1</v>
      </c>
      <c r="Z99" s="4">
        <v>117.3</v>
      </c>
      <c r="AA99" s="4">
        <v>126.5</v>
      </c>
      <c r="AB99" s="4">
        <v>112.9</v>
      </c>
      <c r="AC99" s="4">
        <v>116.2</v>
      </c>
      <c r="AD99" s="4">
        <v>123.5</v>
      </c>
    </row>
    <row r="100" spans="1:30" hidden="1" x14ac:dyDescent="0.3">
      <c r="A100" t="s">
        <v>34</v>
      </c>
      <c r="B100">
        <v>2015</v>
      </c>
      <c r="C100" t="s">
        <v>42</v>
      </c>
      <c r="D100" s="4">
        <v>124.6</v>
      </c>
      <c r="E100" s="4">
        <v>130.4</v>
      </c>
      <c r="F100" s="4">
        <v>118.7</v>
      </c>
      <c r="G100" s="4">
        <v>128.9</v>
      </c>
      <c r="H100" s="4">
        <v>111.9</v>
      </c>
      <c r="I100" s="4">
        <v>128.4</v>
      </c>
      <c r="J100" s="4">
        <v>162.19999999999999</v>
      </c>
      <c r="K100" s="4">
        <v>150</v>
      </c>
      <c r="L100" s="4">
        <v>90.4</v>
      </c>
      <c r="M100" s="4">
        <v>128.4</v>
      </c>
      <c r="N100" s="4">
        <v>120.7</v>
      </c>
      <c r="O100" s="4">
        <v>132.5</v>
      </c>
      <c r="P100" s="4">
        <v>131.19999999999999</v>
      </c>
      <c r="Q100" s="4">
        <v>132</v>
      </c>
      <c r="R100" s="4">
        <v>127.9</v>
      </c>
      <c r="S100" s="4">
        <v>123.4</v>
      </c>
      <c r="T100" s="4">
        <v>127.2</v>
      </c>
      <c r="U100" s="4">
        <v>121.6</v>
      </c>
      <c r="V100" s="4">
        <v>120.4</v>
      </c>
      <c r="W100" s="4">
        <v>122.6</v>
      </c>
      <c r="X100" s="4">
        <v>119.8</v>
      </c>
      <c r="Y100" s="4">
        <v>111.3</v>
      </c>
      <c r="Z100" s="4">
        <v>118.3</v>
      </c>
      <c r="AA100" s="4">
        <v>125.7</v>
      </c>
      <c r="AB100" s="4">
        <v>113.4</v>
      </c>
      <c r="AC100" s="4">
        <v>117.5</v>
      </c>
      <c r="AD100" s="4">
        <v>125.4</v>
      </c>
    </row>
    <row r="101" spans="1:30" hidden="1" x14ac:dyDescent="0.3">
      <c r="A101" t="s">
        <v>30</v>
      </c>
      <c r="B101">
        <v>2015</v>
      </c>
      <c r="C101" t="s">
        <v>43</v>
      </c>
      <c r="D101" s="4">
        <v>125.6</v>
      </c>
      <c r="E101" s="4">
        <v>130.4</v>
      </c>
      <c r="F101" s="4">
        <v>120.8</v>
      </c>
      <c r="G101" s="4">
        <v>129.4</v>
      </c>
      <c r="H101" s="4">
        <v>115.8</v>
      </c>
      <c r="I101" s="4">
        <v>133.19999999999999</v>
      </c>
      <c r="J101" s="4">
        <v>157.69999999999999</v>
      </c>
      <c r="K101" s="4">
        <v>154.19999999999999</v>
      </c>
      <c r="L101" s="4">
        <v>93.7</v>
      </c>
      <c r="M101" s="4">
        <v>126.6</v>
      </c>
      <c r="N101" s="4">
        <v>122.3</v>
      </c>
      <c r="O101" s="4">
        <v>133.1</v>
      </c>
      <c r="P101" s="4">
        <v>131.80000000000001</v>
      </c>
      <c r="Q101" s="4">
        <v>131.5</v>
      </c>
      <c r="R101" s="4">
        <v>131.1</v>
      </c>
      <c r="S101" s="4">
        <v>127.3</v>
      </c>
      <c r="T101" s="4">
        <v>130.6</v>
      </c>
      <c r="U101" s="4">
        <v>122.4</v>
      </c>
      <c r="V101" s="4">
        <v>124.4</v>
      </c>
      <c r="W101" s="4">
        <v>125.1</v>
      </c>
      <c r="X101" s="4">
        <v>122</v>
      </c>
      <c r="Y101" s="4">
        <v>113.8</v>
      </c>
      <c r="Z101" s="4">
        <v>120.1</v>
      </c>
      <c r="AA101" s="4">
        <v>125.1</v>
      </c>
      <c r="AB101" s="4">
        <v>114.2</v>
      </c>
      <c r="AC101" s="4">
        <v>119.2</v>
      </c>
      <c r="AD101" s="4">
        <v>127.7</v>
      </c>
    </row>
    <row r="102" spans="1:30" hidden="1" x14ac:dyDescent="0.3">
      <c r="A102" t="s">
        <v>33</v>
      </c>
      <c r="B102">
        <v>2015</v>
      </c>
      <c r="C102" t="s">
        <v>43</v>
      </c>
      <c r="D102" s="4">
        <v>123.6</v>
      </c>
      <c r="E102" s="4">
        <v>128.6</v>
      </c>
      <c r="F102" s="4">
        <v>115.9</v>
      </c>
      <c r="G102" s="4">
        <v>128.5</v>
      </c>
      <c r="H102" s="4">
        <v>109</v>
      </c>
      <c r="I102" s="4">
        <v>124.1</v>
      </c>
      <c r="J102" s="4">
        <v>165.8</v>
      </c>
      <c r="K102" s="4">
        <v>187.2</v>
      </c>
      <c r="L102" s="4">
        <v>89.4</v>
      </c>
      <c r="M102" s="4">
        <v>135.80000000000001</v>
      </c>
      <c r="N102" s="4">
        <v>119.4</v>
      </c>
      <c r="O102" s="4">
        <v>132.9</v>
      </c>
      <c r="P102" s="4">
        <v>132.6</v>
      </c>
      <c r="Q102" s="4">
        <v>135.30000000000001</v>
      </c>
      <c r="R102" s="4">
        <v>124.4</v>
      </c>
      <c r="S102" s="4">
        <v>118.8</v>
      </c>
      <c r="T102" s="4">
        <v>123.6</v>
      </c>
      <c r="U102" s="4">
        <v>122.4</v>
      </c>
      <c r="V102" s="4">
        <v>114.9</v>
      </c>
      <c r="W102" s="4">
        <v>120.7</v>
      </c>
      <c r="X102" s="4">
        <v>117.7</v>
      </c>
      <c r="Y102" s="4">
        <v>109.3</v>
      </c>
      <c r="Z102" s="4">
        <v>117.7</v>
      </c>
      <c r="AA102" s="4">
        <v>126.5</v>
      </c>
      <c r="AB102" s="4">
        <v>113.5</v>
      </c>
      <c r="AC102" s="4">
        <v>116.5</v>
      </c>
      <c r="AD102" s="4">
        <v>124.2</v>
      </c>
    </row>
    <row r="103" spans="1:30" hidden="1" x14ac:dyDescent="0.3">
      <c r="A103" t="s">
        <v>34</v>
      </c>
      <c r="B103">
        <v>2015</v>
      </c>
      <c r="C103" t="s">
        <v>43</v>
      </c>
      <c r="D103" s="4">
        <v>125</v>
      </c>
      <c r="E103" s="4">
        <v>129.80000000000001</v>
      </c>
      <c r="F103" s="4">
        <v>118.9</v>
      </c>
      <c r="G103" s="4">
        <v>129.1</v>
      </c>
      <c r="H103" s="4">
        <v>113.3</v>
      </c>
      <c r="I103" s="4">
        <v>129</v>
      </c>
      <c r="J103" s="4">
        <v>160.4</v>
      </c>
      <c r="K103" s="4">
        <v>165.3</v>
      </c>
      <c r="L103" s="4">
        <v>92.3</v>
      </c>
      <c r="M103" s="4">
        <v>129.69999999999999</v>
      </c>
      <c r="N103" s="4">
        <v>121.1</v>
      </c>
      <c r="O103" s="4">
        <v>133</v>
      </c>
      <c r="P103" s="4">
        <v>132.1</v>
      </c>
      <c r="Q103" s="4">
        <v>132.5</v>
      </c>
      <c r="R103" s="4">
        <v>128.5</v>
      </c>
      <c r="S103" s="4">
        <v>123.8</v>
      </c>
      <c r="T103" s="4">
        <v>127.8</v>
      </c>
      <c r="U103" s="4">
        <v>122.4</v>
      </c>
      <c r="V103" s="4">
        <v>120.8</v>
      </c>
      <c r="W103" s="4">
        <v>123</v>
      </c>
      <c r="X103" s="4">
        <v>120.4</v>
      </c>
      <c r="Y103" s="4">
        <v>111.4</v>
      </c>
      <c r="Z103" s="4">
        <v>118.7</v>
      </c>
      <c r="AA103" s="4">
        <v>125.9</v>
      </c>
      <c r="AB103" s="4">
        <v>113.9</v>
      </c>
      <c r="AC103" s="4">
        <v>117.9</v>
      </c>
      <c r="AD103" s="4">
        <v>126.1</v>
      </c>
    </row>
    <row r="104" spans="1:30" hidden="1" x14ac:dyDescent="0.3">
      <c r="A104" t="s">
        <v>30</v>
      </c>
      <c r="B104">
        <v>2015</v>
      </c>
      <c r="C104" t="s">
        <v>45</v>
      </c>
      <c r="D104" s="4">
        <v>126.1</v>
      </c>
      <c r="E104" s="4">
        <v>130.6</v>
      </c>
      <c r="F104" s="4">
        <v>121.7</v>
      </c>
      <c r="G104" s="4">
        <v>129.5</v>
      </c>
      <c r="H104" s="4">
        <v>117.8</v>
      </c>
      <c r="I104" s="4">
        <v>132.1</v>
      </c>
      <c r="J104" s="4">
        <v>155.19999999999999</v>
      </c>
      <c r="K104" s="4">
        <v>160.80000000000001</v>
      </c>
      <c r="L104" s="4">
        <v>94.5</v>
      </c>
      <c r="M104" s="4">
        <v>128.30000000000001</v>
      </c>
      <c r="N104" s="4">
        <v>123.1</v>
      </c>
      <c r="O104" s="4">
        <v>134.19999999999999</v>
      </c>
      <c r="P104" s="4">
        <v>132.4</v>
      </c>
      <c r="Q104" s="4">
        <v>132.19999999999999</v>
      </c>
      <c r="R104" s="4">
        <v>132.1</v>
      </c>
      <c r="S104" s="4">
        <v>128.19999999999999</v>
      </c>
      <c r="T104" s="4">
        <v>131.5</v>
      </c>
      <c r="U104" s="4">
        <v>122.9</v>
      </c>
      <c r="V104" s="4">
        <v>125.6</v>
      </c>
      <c r="W104" s="4">
        <v>125.6</v>
      </c>
      <c r="X104" s="4">
        <v>122.6</v>
      </c>
      <c r="Y104" s="4">
        <v>114</v>
      </c>
      <c r="Z104" s="4">
        <v>120.9</v>
      </c>
      <c r="AA104" s="4">
        <v>125.8</v>
      </c>
      <c r="AB104" s="4">
        <v>114.2</v>
      </c>
      <c r="AC104" s="4">
        <v>119.6</v>
      </c>
      <c r="AD104" s="4">
        <v>128.30000000000001</v>
      </c>
    </row>
    <row r="105" spans="1:30" hidden="1" x14ac:dyDescent="0.3">
      <c r="A105" t="s">
        <v>33</v>
      </c>
      <c r="B105">
        <v>2015</v>
      </c>
      <c r="C105" t="s">
        <v>45</v>
      </c>
      <c r="D105" s="4">
        <v>124</v>
      </c>
      <c r="E105" s="4">
        <v>129.80000000000001</v>
      </c>
      <c r="F105" s="4">
        <v>121.5</v>
      </c>
      <c r="G105" s="4">
        <v>128.6</v>
      </c>
      <c r="H105" s="4">
        <v>110</v>
      </c>
      <c r="I105" s="4">
        <v>123.7</v>
      </c>
      <c r="J105" s="4">
        <v>164.6</v>
      </c>
      <c r="K105" s="4">
        <v>191.6</v>
      </c>
      <c r="L105" s="4">
        <v>90.8</v>
      </c>
      <c r="M105" s="4">
        <v>137.1</v>
      </c>
      <c r="N105" s="4">
        <v>119.8</v>
      </c>
      <c r="O105" s="4">
        <v>133.69999999999999</v>
      </c>
      <c r="P105" s="4">
        <v>133.30000000000001</v>
      </c>
      <c r="Q105" s="4">
        <v>137.6</v>
      </c>
      <c r="R105" s="4">
        <v>125</v>
      </c>
      <c r="S105" s="4">
        <v>119.3</v>
      </c>
      <c r="T105" s="4">
        <v>124.2</v>
      </c>
      <c r="U105" s="4">
        <v>122.9</v>
      </c>
      <c r="V105" s="4">
        <v>115.1</v>
      </c>
      <c r="W105" s="4">
        <v>121</v>
      </c>
      <c r="X105" s="4">
        <v>118.1</v>
      </c>
      <c r="Y105" s="4">
        <v>109.3</v>
      </c>
      <c r="Z105" s="4">
        <v>117.9</v>
      </c>
      <c r="AA105" s="4">
        <v>126.6</v>
      </c>
      <c r="AB105" s="4">
        <v>113.3</v>
      </c>
      <c r="AC105" s="4">
        <v>116.6</v>
      </c>
      <c r="AD105" s="4">
        <v>124.6</v>
      </c>
    </row>
    <row r="106" spans="1:30" hidden="1" x14ac:dyDescent="0.3">
      <c r="A106" t="s">
        <v>34</v>
      </c>
      <c r="B106">
        <v>2015</v>
      </c>
      <c r="C106" t="s">
        <v>45</v>
      </c>
      <c r="D106" s="4">
        <v>125.4</v>
      </c>
      <c r="E106" s="4">
        <v>130.30000000000001</v>
      </c>
      <c r="F106" s="4">
        <v>121.6</v>
      </c>
      <c r="G106" s="4">
        <v>129.19999999999999</v>
      </c>
      <c r="H106" s="4">
        <v>114.9</v>
      </c>
      <c r="I106" s="4">
        <v>128.19999999999999</v>
      </c>
      <c r="J106" s="4">
        <v>158.4</v>
      </c>
      <c r="K106" s="4">
        <v>171.2</v>
      </c>
      <c r="L106" s="4">
        <v>93.3</v>
      </c>
      <c r="M106" s="4">
        <v>131.19999999999999</v>
      </c>
      <c r="N106" s="4">
        <v>121.7</v>
      </c>
      <c r="O106" s="4">
        <v>134</v>
      </c>
      <c r="P106" s="4">
        <v>132.69999999999999</v>
      </c>
      <c r="Q106" s="4">
        <v>133.6</v>
      </c>
      <c r="R106" s="4">
        <v>129.30000000000001</v>
      </c>
      <c r="S106" s="4">
        <v>124.5</v>
      </c>
      <c r="T106" s="4">
        <v>128.6</v>
      </c>
      <c r="U106" s="4">
        <v>122.9</v>
      </c>
      <c r="V106" s="4">
        <v>121.6</v>
      </c>
      <c r="W106" s="4">
        <v>123.4</v>
      </c>
      <c r="X106" s="4">
        <v>120.9</v>
      </c>
      <c r="Y106" s="4">
        <v>111.5</v>
      </c>
      <c r="Z106" s="4">
        <v>119.2</v>
      </c>
      <c r="AA106" s="4">
        <v>126.3</v>
      </c>
      <c r="AB106" s="4">
        <v>113.8</v>
      </c>
      <c r="AC106" s="4">
        <v>118.1</v>
      </c>
      <c r="AD106" s="4">
        <v>126.6</v>
      </c>
    </row>
    <row r="107" spans="1:30" hidden="1" x14ac:dyDescent="0.3">
      <c r="A107" t="s">
        <v>30</v>
      </c>
      <c r="B107">
        <v>2015</v>
      </c>
      <c r="C107" t="s">
        <v>46</v>
      </c>
      <c r="D107" s="4">
        <v>126.3</v>
      </c>
      <c r="E107" s="4">
        <v>131.30000000000001</v>
      </c>
      <c r="F107" s="4">
        <v>123.3</v>
      </c>
      <c r="G107" s="4">
        <v>129.80000000000001</v>
      </c>
      <c r="H107" s="4">
        <v>118.3</v>
      </c>
      <c r="I107" s="4">
        <v>131.6</v>
      </c>
      <c r="J107" s="4">
        <v>145.5</v>
      </c>
      <c r="K107" s="4">
        <v>162.1</v>
      </c>
      <c r="L107" s="4">
        <v>95.4</v>
      </c>
      <c r="M107" s="4">
        <v>128.9</v>
      </c>
      <c r="N107" s="4">
        <v>123.3</v>
      </c>
      <c r="O107" s="4">
        <v>135.1</v>
      </c>
      <c r="P107" s="4">
        <v>131.4</v>
      </c>
      <c r="Q107" s="4">
        <v>133.1</v>
      </c>
      <c r="R107" s="4">
        <v>132.5</v>
      </c>
      <c r="S107" s="4">
        <v>128.5</v>
      </c>
      <c r="T107" s="4">
        <v>131.9</v>
      </c>
      <c r="U107" s="4">
        <v>122.4</v>
      </c>
      <c r="V107" s="4">
        <v>125.7</v>
      </c>
      <c r="W107" s="4">
        <v>126</v>
      </c>
      <c r="X107" s="4">
        <v>123.1</v>
      </c>
      <c r="Y107" s="4">
        <v>114</v>
      </c>
      <c r="Z107" s="4">
        <v>121.6</v>
      </c>
      <c r="AA107" s="4">
        <v>125.6</v>
      </c>
      <c r="AB107" s="4">
        <v>114.1</v>
      </c>
      <c r="AC107" s="4">
        <v>119.8</v>
      </c>
      <c r="AD107" s="4">
        <v>127.9</v>
      </c>
    </row>
    <row r="108" spans="1:30" hidden="1" x14ac:dyDescent="0.3">
      <c r="A108" t="s">
        <v>33</v>
      </c>
      <c r="B108">
        <v>2015</v>
      </c>
      <c r="C108" t="s">
        <v>46</v>
      </c>
      <c r="D108" s="4">
        <v>124.3</v>
      </c>
      <c r="E108" s="4">
        <v>131.69999999999999</v>
      </c>
      <c r="F108" s="4">
        <v>127.1</v>
      </c>
      <c r="G108" s="4">
        <v>128.6</v>
      </c>
      <c r="H108" s="4">
        <v>110</v>
      </c>
      <c r="I108" s="4">
        <v>120.8</v>
      </c>
      <c r="J108" s="4">
        <v>149</v>
      </c>
      <c r="K108" s="4">
        <v>190.1</v>
      </c>
      <c r="L108" s="4">
        <v>92.7</v>
      </c>
      <c r="M108" s="4">
        <v>138.6</v>
      </c>
      <c r="N108" s="4">
        <v>120.2</v>
      </c>
      <c r="O108" s="4">
        <v>134.19999999999999</v>
      </c>
      <c r="P108" s="4">
        <v>131.5</v>
      </c>
      <c r="Q108" s="4">
        <v>138.19999999999999</v>
      </c>
      <c r="R108" s="4">
        <v>125.4</v>
      </c>
      <c r="S108" s="4">
        <v>119.5</v>
      </c>
      <c r="T108" s="4">
        <v>124.5</v>
      </c>
      <c r="U108" s="4">
        <v>122.4</v>
      </c>
      <c r="V108" s="4">
        <v>116</v>
      </c>
      <c r="W108" s="4">
        <v>121</v>
      </c>
      <c r="X108" s="4">
        <v>118.6</v>
      </c>
      <c r="Y108" s="4">
        <v>109.3</v>
      </c>
      <c r="Z108" s="4">
        <v>118.1</v>
      </c>
      <c r="AA108" s="4">
        <v>126.6</v>
      </c>
      <c r="AB108" s="4">
        <v>113.2</v>
      </c>
      <c r="AC108" s="4">
        <v>116.7</v>
      </c>
      <c r="AD108" s="4">
        <v>124</v>
      </c>
    </row>
    <row r="109" spans="1:30" hidden="1" x14ac:dyDescent="0.3">
      <c r="A109" t="s">
        <v>34</v>
      </c>
      <c r="B109">
        <v>2015</v>
      </c>
      <c r="C109" t="s">
        <v>46</v>
      </c>
      <c r="D109" s="4">
        <v>125.7</v>
      </c>
      <c r="E109" s="4">
        <v>131.4</v>
      </c>
      <c r="F109" s="4">
        <v>124.8</v>
      </c>
      <c r="G109" s="4">
        <v>129.4</v>
      </c>
      <c r="H109" s="4">
        <v>115.3</v>
      </c>
      <c r="I109" s="4">
        <v>126.6</v>
      </c>
      <c r="J109" s="4">
        <v>146.69999999999999</v>
      </c>
      <c r="K109" s="4">
        <v>171.5</v>
      </c>
      <c r="L109" s="4">
        <v>94.5</v>
      </c>
      <c r="M109" s="4">
        <v>132.1</v>
      </c>
      <c r="N109" s="4">
        <v>122</v>
      </c>
      <c r="O109" s="4">
        <v>134.69999999999999</v>
      </c>
      <c r="P109" s="4">
        <v>131.4</v>
      </c>
      <c r="Q109" s="4">
        <v>134.5</v>
      </c>
      <c r="R109" s="4">
        <v>129.69999999999999</v>
      </c>
      <c r="S109" s="4">
        <v>124.8</v>
      </c>
      <c r="T109" s="4">
        <v>129</v>
      </c>
      <c r="U109" s="4">
        <v>122.4</v>
      </c>
      <c r="V109" s="4">
        <v>122</v>
      </c>
      <c r="W109" s="4">
        <v>123.6</v>
      </c>
      <c r="X109" s="4">
        <v>121.4</v>
      </c>
      <c r="Y109" s="4">
        <v>111.5</v>
      </c>
      <c r="Z109" s="4">
        <v>119.6</v>
      </c>
      <c r="AA109" s="4">
        <v>126.2</v>
      </c>
      <c r="AB109" s="4">
        <v>113.7</v>
      </c>
      <c r="AC109" s="4">
        <v>118.3</v>
      </c>
      <c r="AD109" s="4">
        <v>126.1</v>
      </c>
    </row>
    <row r="110" spans="1:30" hidden="1" x14ac:dyDescent="0.3">
      <c r="A110" t="s">
        <v>30</v>
      </c>
      <c r="B110">
        <v>2016</v>
      </c>
      <c r="C110" t="s">
        <v>31</v>
      </c>
      <c r="D110" s="4">
        <v>126.8</v>
      </c>
      <c r="E110" s="4">
        <v>133.19999999999999</v>
      </c>
      <c r="F110" s="4">
        <v>126.5</v>
      </c>
      <c r="G110" s="4">
        <v>130.30000000000001</v>
      </c>
      <c r="H110" s="4">
        <v>118.9</v>
      </c>
      <c r="I110" s="4">
        <v>131.6</v>
      </c>
      <c r="J110" s="4">
        <v>140.1</v>
      </c>
      <c r="K110" s="4">
        <v>163.80000000000001</v>
      </c>
      <c r="L110" s="4">
        <v>97.7</v>
      </c>
      <c r="M110" s="4">
        <v>129.6</v>
      </c>
      <c r="N110" s="4">
        <v>124.3</v>
      </c>
      <c r="O110" s="4">
        <v>135.9</v>
      </c>
      <c r="P110" s="4">
        <v>131.4</v>
      </c>
      <c r="Q110" s="4">
        <v>133.6</v>
      </c>
      <c r="R110" s="4">
        <v>133.19999999999999</v>
      </c>
      <c r="S110" s="4">
        <v>128.9</v>
      </c>
      <c r="T110" s="4">
        <v>132.6</v>
      </c>
      <c r="U110" s="4">
        <v>123.4</v>
      </c>
      <c r="V110" s="4">
        <v>126.2</v>
      </c>
      <c r="W110" s="4">
        <v>126.6</v>
      </c>
      <c r="X110" s="4">
        <v>123.7</v>
      </c>
      <c r="Y110" s="4">
        <v>113.6</v>
      </c>
      <c r="Z110" s="4">
        <v>121.4</v>
      </c>
      <c r="AA110" s="4">
        <v>126.2</v>
      </c>
      <c r="AB110" s="4">
        <v>114.9</v>
      </c>
      <c r="AC110" s="4">
        <v>120.1</v>
      </c>
      <c r="AD110" s="4">
        <v>128.1</v>
      </c>
    </row>
    <row r="111" spans="1:30" hidden="1" x14ac:dyDescent="0.3">
      <c r="A111" t="s">
        <v>33</v>
      </c>
      <c r="B111">
        <v>2016</v>
      </c>
      <c r="C111" t="s">
        <v>31</v>
      </c>
      <c r="D111" s="4">
        <v>124.7</v>
      </c>
      <c r="E111" s="4">
        <v>135.9</v>
      </c>
      <c r="F111" s="4">
        <v>132</v>
      </c>
      <c r="G111" s="4">
        <v>129.19999999999999</v>
      </c>
      <c r="H111" s="4">
        <v>109.7</v>
      </c>
      <c r="I111" s="4">
        <v>119</v>
      </c>
      <c r="J111" s="4">
        <v>144.1</v>
      </c>
      <c r="K111" s="4">
        <v>184.2</v>
      </c>
      <c r="L111" s="4">
        <v>96.7</v>
      </c>
      <c r="M111" s="4">
        <v>139.5</v>
      </c>
      <c r="N111" s="4">
        <v>120.5</v>
      </c>
      <c r="O111" s="4">
        <v>134.69999999999999</v>
      </c>
      <c r="P111" s="4">
        <v>131.19999999999999</v>
      </c>
      <c r="Q111" s="4">
        <v>139.5</v>
      </c>
      <c r="R111" s="4">
        <v>125.8</v>
      </c>
      <c r="S111" s="4">
        <v>119.8</v>
      </c>
      <c r="T111" s="4">
        <v>124.9</v>
      </c>
      <c r="U111" s="4">
        <v>123.4</v>
      </c>
      <c r="V111" s="4">
        <v>116.9</v>
      </c>
      <c r="W111" s="4">
        <v>121.6</v>
      </c>
      <c r="X111" s="4">
        <v>119.1</v>
      </c>
      <c r="Y111" s="4">
        <v>108.9</v>
      </c>
      <c r="Z111" s="4">
        <v>118.5</v>
      </c>
      <c r="AA111" s="4">
        <v>126.4</v>
      </c>
      <c r="AB111" s="4">
        <v>114</v>
      </c>
      <c r="AC111" s="4">
        <v>116.8</v>
      </c>
      <c r="AD111" s="4">
        <v>124.2</v>
      </c>
    </row>
    <row r="112" spans="1:30" hidden="1" x14ac:dyDescent="0.3">
      <c r="A112" t="s">
        <v>34</v>
      </c>
      <c r="B112">
        <v>2016</v>
      </c>
      <c r="C112" t="s">
        <v>31</v>
      </c>
      <c r="D112" s="4">
        <v>126.1</v>
      </c>
      <c r="E112" s="4">
        <v>134.1</v>
      </c>
      <c r="F112" s="4">
        <v>128.6</v>
      </c>
      <c r="G112" s="4">
        <v>129.9</v>
      </c>
      <c r="H112" s="4">
        <v>115.5</v>
      </c>
      <c r="I112" s="4">
        <v>125.7</v>
      </c>
      <c r="J112" s="4">
        <v>141.5</v>
      </c>
      <c r="K112" s="4">
        <v>170.7</v>
      </c>
      <c r="L112" s="4">
        <v>97.4</v>
      </c>
      <c r="M112" s="4">
        <v>132.9</v>
      </c>
      <c r="N112" s="4">
        <v>122.7</v>
      </c>
      <c r="O112" s="4">
        <v>135.30000000000001</v>
      </c>
      <c r="P112" s="4">
        <v>131.30000000000001</v>
      </c>
      <c r="Q112" s="4">
        <v>135.19999999999999</v>
      </c>
      <c r="R112" s="4">
        <v>130.30000000000001</v>
      </c>
      <c r="S112" s="4">
        <v>125.1</v>
      </c>
      <c r="T112" s="4">
        <v>129.5</v>
      </c>
      <c r="U112" s="4">
        <v>123.4</v>
      </c>
      <c r="V112" s="4">
        <v>122.7</v>
      </c>
      <c r="W112" s="4">
        <v>124.2</v>
      </c>
      <c r="X112" s="4">
        <v>122</v>
      </c>
      <c r="Y112" s="4">
        <v>111.1</v>
      </c>
      <c r="Z112" s="4">
        <v>119.8</v>
      </c>
      <c r="AA112" s="4">
        <v>126.3</v>
      </c>
      <c r="AB112" s="4">
        <v>114.5</v>
      </c>
      <c r="AC112" s="4">
        <v>118.5</v>
      </c>
      <c r="AD112" s="4">
        <v>126.3</v>
      </c>
    </row>
    <row r="113" spans="1:30" hidden="1" x14ac:dyDescent="0.3">
      <c r="A113" t="s">
        <v>30</v>
      </c>
      <c r="B113">
        <v>2016</v>
      </c>
      <c r="C113" t="s">
        <v>35</v>
      </c>
      <c r="D113" s="4">
        <v>127.1</v>
      </c>
      <c r="E113" s="4">
        <v>133.69999999999999</v>
      </c>
      <c r="F113" s="4">
        <v>127.7</v>
      </c>
      <c r="G113" s="4">
        <v>130.69999999999999</v>
      </c>
      <c r="H113" s="4">
        <v>118.5</v>
      </c>
      <c r="I113" s="4">
        <v>130.4</v>
      </c>
      <c r="J113" s="4">
        <v>130.9</v>
      </c>
      <c r="K113" s="4">
        <v>162.80000000000001</v>
      </c>
      <c r="L113" s="4">
        <v>98.7</v>
      </c>
      <c r="M113" s="4">
        <v>130.6</v>
      </c>
      <c r="N113" s="4">
        <v>124.8</v>
      </c>
      <c r="O113" s="4">
        <v>136.4</v>
      </c>
      <c r="P113" s="4">
        <v>130.30000000000001</v>
      </c>
      <c r="Q113" s="4">
        <v>134.4</v>
      </c>
      <c r="R113" s="4">
        <v>133.9</v>
      </c>
      <c r="S113" s="4">
        <v>129.80000000000001</v>
      </c>
      <c r="T113" s="4">
        <v>133.4</v>
      </c>
      <c r="U113" s="4">
        <v>124.4</v>
      </c>
      <c r="V113" s="4">
        <v>127.5</v>
      </c>
      <c r="W113" s="4">
        <v>127.1</v>
      </c>
      <c r="X113" s="4">
        <v>124.3</v>
      </c>
      <c r="Y113" s="4">
        <v>113.9</v>
      </c>
      <c r="Z113" s="4">
        <v>122.3</v>
      </c>
      <c r="AA113" s="4">
        <v>127.1</v>
      </c>
      <c r="AB113" s="4">
        <v>116.8</v>
      </c>
      <c r="AC113" s="4">
        <v>120.9</v>
      </c>
      <c r="AD113" s="4">
        <v>127.9</v>
      </c>
    </row>
    <row r="114" spans="1:30" hidden="1" x14ac:dyDescent="0.3">
      <c r="A114" t="s">
        <v>33</v>
      </c>
      <c r="B114">
        <v>2016</v>
      </c>
      <c r="C114" t="s">
        <v>35</v>
      </c>
      <c r="D114" s="4">
        <v>124.8</v>
      </c>
      <c r="E114" s="4">
        <v>135.1</v>
      </c>
      <c r="F114" s="4">
        <v>130.30000000000001</v>
      </c>
      <c r="G114" s="4">
        <v>129.6</v>
      </c>
      <c r="H114" s="4">
        <v>108.4</v>
      </c>
      <c r="I114" s="4">
        <v>118.6</v>
      </c>
      <c r="J114" s="4">
        <v>129.19999999999999</v>
      </c>
      <c r="K114" s="4">
        <v>176.4</v>
      </c>
      <c r="L114" s="4">
        <v>99.1</v>
      </c>
      <c r="M114" s="4">
        <v>139.69999999999999</v>
      </c>
      <c r="N114" s="4">
        <v>120.6</v>
      </c>
      <c r="O114" s="4">
        <v>135.19999999999999</v>
      </c>
      <c r="P114" s="4">
        <v>129.1</v>
      </c>
      <c r="Q114" s="4">
        <v>140</v>
      </c>
      <c r="R114" s="4">
        <v>126.2</v>
      </c>
      <c r="S114" s="4">
        <v>120.1</v>
      </c>
      <c r="T114" s="4">
        <v>125.3</v>
      </c>
      <c r="U114" s="4">
        <v>124.4</v>
      </c>
      <c r="V114" s="4">
        <v>116</v>
      </c>
      <c r="W114" s="4">
        <v>121.8</v>
      </c>
      <c r="X114" s="4">
        <v>119.5</v>
      </c>
      <c r="Y114" s="4">
        <v>109.1</v>
      </c>
      <c r="Z114" s="4">
        <v>118.8</v>
      </c>
      <c r="AA114" s="4">
        <v>126.3</v>
      </c>
      <c r="AB114" s="4">
        <v>116.2</v>
      </c>
      <c r="AC114" s="4">
        <v>117.2</v>
      </c>
      <c r="AD114" s="4">
        <v>123.8</v>
      </c>
    </row>
    <row r="115" spans="1:30" hidden="1" x14ac:dyDescent="0.3">
      <c r="A115" t="s">
        <v>34</v>
      </c>
      <c r="B115">
        <v>2016</v>
      </c>
      <c r="C115" t="s">
        <v>35</v>
      </c>
      <c r="D115" s="4">
        <v>126.4</v>
      </c>
      <c r="E115" s="4">
        <v>134.19999999999999</v>
      </c>
      <c r="F115" s="4">
        <v>128.69999999999999</v>
      </c>
      <c r="G115" s="4">
        <v>130.30000000000001</v>
      </c>
      <c r="H115" s="4">
        <v>114.8</v>
      </c>
      <c r="I115" s="4">
        <v>124.9</v>
      </c>
      <c r="J115" s="4">
        <v>130.30000000000001</v>
      </c>
      <c r="K115" s="4">
        <v>167.4</v>
      </c>
      <c r="L115" s="4">
        <v>98.8</v>
      </c>
      <c r="M115" s="4">
        <v>133.6</v>
      </c>
      <c r="N115" s="4">
        <v>123</v>
      </c>
      <c r="O115" s="4">
        <v>135.80000000000001</v>
      </c>
      <c r="P115" s="4">
        <v>129.9</v>
      </c>
      <c r="Q115" s="4">
        <v>135.9</v>
      </c>
      <c r="R115" s="4">
        <v>130.9</v>
      </c>
      <c r="S115" s="4">
        <v>125.8</v>
      </c>
      <c r="T115" s="4">
        <v>130.19999999999999</v>
      </c>
      <c r="U115" s="4">
        <v>124.4</v>
      </c>
      <c r="V115" s="4">
        <v>123.1</v>
      </c>
      <c r="W115" s="4">
        <v>124.6</v>
      </c>
      <c r="X115" s="4">
        <v>122.5</v>
      </c>
      <c r="Y115" s="4">
        <v>111.4</v>
      </c>
      <c r="Z115" s="4">
        <v>120.3</v>
      </c>
      <c r="AA115" s="4">
        <v>126.6</v>
      </c>
      <c r="AB115" s="4">
        <v>116.6</v>
      </c>
      <c r="AC115" s="4">
        <v>119.1</v>
      </c>
      <c r="AD115" s="4">
        <v>126</v>
      </c>
    </row>
    <row r="116" spans="1:30" hidden="1" x14ac:dyDescent="0.3">
      <c r="A116" t="s">
        <v>30</v>
      </c>
      <c r="B116">
        <v>2016</v>
      </c>
      <c r="C116" t="s">
        <v>36</v>
      </c>
      <c r="D116" s="4">
        <v>127.3</v>
      </c>
      <c r="E116" s="4">
        <v>134.4</v>
      </c>
      <c r="F116" s="4">
        <v>125.1</v>
      </c>
      <c r="G116" s="4">
        <v>130.5</v>
      </c>
      <c r="H116" s="4">
        <v>118.3</v>
      </c>
      <c r="I116" s="4">
        <v>131.69999999999999</v>
      </c>
      <c r="J116" s="4">
        <v>130.69999999999999</v>
      </c>
      <c r="K116" s="4">
        <v>161.19999999999999</v>
      </c>
      <c r="L116" s="4">
        <v>100.4</v>
      </c>
      <c r="M116" s="4">
        <v>130.80000000000001</v>
      </c>
      <c r="N116" s="4">
        <v>124.9</v>
      </c>
      <c r="O116" s="4">
        <v>137</v>
      </c>
      <c r="P116" s="4">
        <v>130.4</v>
      </c>
      <c r="Q116" s="4">
        <v>135</v>
      </c>
      <c r="R116" s="4">
        <v>134.4</v>
      </c>
      <c r="S116" s="4">
        <v>130.19999999999999</v>
      </c>
      <c r="T116" s="4">
        <v>133.80000000000001</v>
      </c>
      <c r="U116" s="4">
        <v>124.9</v>
      </c>
      <c r="V116" s="4">
        <v>127</v>
      </c>
      <c r="W116" s="4">
        <v>127.7</v>
      </c>
      <c r="X116" s="4">
        <v>124.8</v>
      </c>
      <c r="Y116" s="4">
        <v>113.6</v>
      </c>
      <c r="Z116" s="4">
        <v>122.5</v>
      </c>
      <c r="AA116" s="4">
        <v>127.5</v>
      </c>
      <c r="AB116" s="4">
        <v>117.4</v>
      </c>
      <c r="AC116" s="4">
        <v>121.1</v>
      </c>
      <c r="AD116" s="4">
        <v>128</v>
      </c>
    </row>
    <row r="117" spans="1:30" hidden="1" x14ac:dyDescent="0.3">
      <c r="A117" t="s">
        <v>33</v>
      </c>
      <c r="B117">
        <v>2016</v>
      </c>
      <c r="C117" t="s">
        <v>36</v>
      </c>
      <c r="D117" s="4">
        <v>124.8</v>
      </c>
      <c r="E117" s="4">
        <v>136.30000000000001</v>
      </c>
      <c r="F117" s="4">
        <v>123.7</v>
      </c>
      <c r="G117" s="4">
        <v>129.69999999999999</v>
      </c>
      <c r="H117" s="4">
        <v>107.9</v>
      </c>
      <c r="I117" s="4">
        <v>119.9</v>
      </c>
      <c r="J117" s="4">
        <v>128.1</v>
      </c>
      <c r="K117" s="4">
        <v>170.3</v>
      </c>
      <c r="L117" s="4">
        <v>101.8</v>
      </c>
      <c r="M117" s="4">
        <v>140.1</v>
      </c>
      <c r="N117" s="4">
        <v>120.7</v>
      </c>
      <c r="O117" s="4">
        <v>135.4</v>
      </c>
      <c r="P117" s="4">
        <v>128.9</v>
      </c>
      <c r="Q117" s="4">
        <v>140.6</v>
      </c>
      <c r="R117" s="4">
        <v>126.4</v>
      </c>
      <c r="S117" s="4">
        <v>120.3</v>
      </c>
      <c r="T117" s="4">
        <v>125.5</v>
      </c>
      <c r="U117" s="4">
        <v>124.9</v>
      </c>
      <c r="V117" s="4">
        <v>114.8</v>
      </c>
      <c r="W117" s="4">
        <v>122.3</v>
      </c>
      <c r="X117" s="4">
        <v>119.7</v>
      </c>
      <c r="Y117" s="4">
        <v>108.5</v>
      </c>
      <c r="Z117" s="4">
        <v>119.1</v>
      </c>
      <c r="AA117" s="4">
        <v>126.4</v>
      </c>
      <c r="AB117" s="4">
        <v>117.1</v>
      </c>
      <c r="AC117" s="4">
        <v>117.3</v>
      </c>
      <c r="AD117" s="4">
        <v>123.8</v>
      </c>
    </row>
    <row r="118" spans="1:30" hidden="1" x14ac:dyDescent="0.3">
      <c r="A118" t="s">
        <v>34</v>
      </c>
      <c r="B118">
        <v>2016</v>
      </c>
      <c r="C118" t="s">
        <v>36</v>
      </c>
      <c r="D118" s="4">
        <v>126.5</v>
      </c>
      <c r="E118" s="4">
        <v>135.1</v>
      </c>
      <c r="F118" s="4">
        <v>124.6</v>
      </c>
      <c r="G118" s="4">
        <v>130.19999999999999</v>
      </c>
      <c r="H118" s="4">
        <v>114.5</v>
      </c>
      <c r="I118" s="4">
        <v>126.2</v>
      </c>
      <c r="J118" s="4">
        <v>129.80000000000001</v>
      </c>
      <c r="K118" s="4">
        <v>164.3</v>
      </c>
      <c r="L118" s="4">
        <v>100.9</v>
      </c>
      <c r="M118" s="4">
        <v>133.9</v>
      </c>
      <c r="N118" s="4">
        <v>123.1</v>
      </c>
      <c r="O118" s="4">
        <v>136.30000000000001</v>
      </c>
      <c r="P118" s="4">
        <v>129.80000000000001</v>
      </c>
      <c r="Q118" s="4">
        <v>136.5</v>
      </c>
      <c r="R118" s="4">
        <v>131.30000000000001</v>
      </c>
      <c r="S118" s="4">
        <v>126.1</v>
      </c>
      <c r="T118" s="4">
        <v>130.5</v>
      </c>
      <c r="U118" s="4">
        <v>124.9</v>
      </c>
      <c r="V118" s="4">
        <v>122.4</v>
      </c>
      <c r="W118" s="4">
        <v>125.1</v>
      </c>
      <c r="X118" s="4">
        <v>122.9</v>
      </c>
      <c r="Y118" s="4">
        <v>110.9</v>
      </c>
      <c r="Z118" s="4">
        <v>120.6</v>
      </c>
      <c r="AA118" s="4">
        <v>126.9</v>
      </c>
      <c r="AB118" s="4">
        <v>117.3</v>
      </c>
      <c r="AC118" s="4">
        <v>119.3</v>
      </c>
      <c r="AD118" s="4">
        <v>126</v>
      </c>
    </row>
    <row r="119" spans="1:30" hidden="1" x14ac:dyDescent="0.3">
      <c r="A119" t="s">
        <v>30</v>
      </c>
      <c r="B119">
        <v>2016</v>
      </c>
      <c r="C119" t="s">
        <v>37</v>
      </c>
      <c r="D119" s="4">
        <v>127.4</v>
      </c>
      <c r="E119" s="4">
        <v>135.4</v>
      </c>
      <c r="F119" s="4">
        <v>123.4</v>
      </c>
      <c r="G119" s="4">
        <v>131.30000000000001</v>
      </c>
      <c r="H119" s="4">
        <v>118.2</v>
      </c>
      <c r="I119" s="4">
        <v>138.1</v>
      </c>
      <c r="J119" s="4">
        <v>134.1</v>
      </c>
      <c r="K119" s="4">
        <v>162.69999999999999</v>
      </c>
      <c r="L119" s="4">
        <v>105</v>
      </c>
      <c r="M119" s="4">
        <v>131.4</v>
      </c>
      <c r="N119" s="4">
        <v>125.4</v>
      </c>
      <c r="O119" s="4">
        <v>137.4</v>
      </c>
      <c r="P119" s="4">
        <v>131.80000000000001</v>
      </c>
      <c r="Q119" s="4">
        <v>135.5</v>
      </c>
      <c r="R119" s="4">
        <v>135</v>
      </c>
      <c r="S119" s="4">
        <v>130.6</v>
      </c>
      <c r="T119" s="4">
        <v>134.4</v>
      </c>
      <c r="U119" s="4">
        <v>125.6</v>
      </c>
      <c r="V119" s="4">
        <v>127</v>
      </c>
      <c r="W119" s="4">
        <v>128</v>
      </c>
      <c r="X119" s="4">
        <v>125.2</v>
      </c>
      <c r="Y119" s="4">
        <v>114.4</v>
      </c>
      <c r="Z119" s="4">
        <v>123.2</v>
      </c>
      <c r="AA119" s="4">
        <v>127.9</v>
      </c>
      <c r="AB119" s="4">
        <v>118.4</v>
      </c>
      <c r="AC119" s="4">
        <v>121.7</v>
      </c>
      <c r="AD119" s="4">
        <v>129</v>
      </c>
    </row>
    <row r="120" spans="1:30" hidden="1" x14ac:dyDescent="0.3">
      <c r="A120" t="s">
        <v>33</v>
      </c>
      <c r="B120">
        <v>2016</v>
      </c>
      <c r="C120" t="s">
        <v>37</v>
      </c>
      <c r="D120" s="4">
        <v>124.9</v>
      </c>
      <c r="E120" s="4">
        <v>139.30000000000001</v>
      </c>
      <c r="F120" s="4">
        <v>119.9</v>
      </c>
      <c r="G120" s="4">
        <v>130.19999999999999</v>
      </c>
      <c r="H120" s="4">
        <v>108.9</v>
      </c>
      <c r="I120" s="4">
        <v>131.1</v>
      </c>
      <c r="J120" s="4">
        <v>136.80000000000001</v>
      </c>
      <c r="K120" s="4">
        <v>176.9</v>
      </c>
      <c r="L120" s="4">
        <v>109.1</v>
      </c>
      <c r="M120" s="4">
        <v>140.4</v>
      </c>
      <c r="N120" s="4">
        <v>121.1</v>
      </c>
      <c r="O120" s="4">
        <v>135.9</v>
      </c>
      <c r="P120" s="4">
        <v>131.80000000000001</v>
      </c>
      <c r="Q120" s="4">
        <v>141.5</v>
      </c>
      <c r="R120" s="4">
        <v>126.8</v>
      </c>
      <c r="S120" s="4">
        <v>120.5</v>
      </c>
      <c r="T120" s="4">
        <v>125.8</v>
      </c>
      <c r="U120" s="4">
        <v>125.6</v>
      </c>
      <c r="V120" s="4">
        <v>114.6</v>
      </c>
      <c r="W120" s="4">
        <v>122.8</v>
      </c>
      <c r="X120" s="4">
        <v>120</v>
      </c>
      <c r="Y120" s="4">
        <v>110</v>
      </c>
      <c r="Z120" s="4">
        <v>119.5</v>
      </c>
      <c r="AA120" s="4">
        <v>127.6</v>
      </c>
      <c r="AB120" s="4">
        <v>117.6</v>
      </c>
      <c r="AC120" s="4">
        <v>118.2</v>
      </c>
      <c r="AD120" s="4">
        <v>125.3</v>
      </c>
    </row>
    <row r="121" spans="1:30" hidden="1" x14ac:dyDescent="0.3">
      <c r="A121" t="s">
        <v>34</v>
      </c>
      <c r="B121">
        <v>2016</v>
      </c>
      <c r="C121" t="s">
        <v>37</v>
      </c>
      <c r="D121" s="4">
        <v>126.6</v>
      </c>
      <c r="E121" s="4">
        <v>136.80000000000001</v>
      </c>
      <c r="F121" s="4">
        <v>122</v>
      </c>
      <c r="G121" s="4">
        <v>130.9</v>
      </c>
      <c r="H121" s="4">
        <v>114.8</v>
      </c>
      <c r="I121" s="4">
        <v>134.80000000000001</v>
      </c>
      <c r="J121" s="4">
        <v>135</v>
      </c>
      <c r="K121" s="4">
        <v>167.5</v>
      </c>
      <c r="L121" s="4">
        <v>106.4</v>
      </c>
      <c r="M121" s="4">
        <v>134.4</v>
      </c>
      <c r="N121" s="4">
        <v>123.6</v>
      </c>
      <c r="O121" s="4">
        <v>136.69999999999999</v>
      </c>
      <c r="P121" s="4">
        <v>131.80000000000001</v>
      </c>
      <c r="Q121" s="4">
        <v>137.1</v>
      </c>
      <c r="R121" s="4">
        <v>131.80000000000001</v>
      </c>
      <c r="S121" s="4">
        <v>126.4</v>
      </c>
      <c r="T121" s="4">
        <v>131</v>
      </c>
      <c r="U121" s="4">
        <v>125.6</v>
      </c>
      <c r="V121" s="4">
        <v>122.3</v>
      </c>
      <c r="W121" s="4">
        <v>125.5</v>
      </c>
      <c r="X121" s="4">
        <v>123.2</v>
      </c>
      <c r="Y121" s="4">
        <v>112.1</v>
      </c>
      <c r="Z121" s="4">
        <v>121.1</v>
      </c>
      <c r="AA121" s="4">
        <v>127.7</v>
      </c>
      <c r="AB121" s="4">
        <v>118.1</v>
      </c>
      <c r="AC121" s="4">
        <v>120</v>
      </c>
      <c r="AD121" s="4">
        <v>127.3</v>
      </c>
    </row>
    <row r="122" spans="1:30" hidden="1" x14ac:dyDescent="0.3">
      <c r="A122" t="s">
        <v>30</v>
      </c>
      <c r="B122">
        <v>2016</v>
      </c>
      <c r="C122" t="s">
        <v>38</v>
      </c>
      <c r="D122" s="4">
        <v>127.6</v>
      </c>
      <c r="E122" s="4">
        <v>137.5</v>
      </c>
      <c r="F122" s="4">
        <v>124.4</v>
      </c>
      <c r="G122" s="4">
        <v>132.4</v>
      </c>
      <c r="H122" s="4">
        <v>118.2</v>
      </c>
      <c r="I122" s="4">
        <v>138.1</v>
      </c>
      <c r="J122" s="4">
        <v>141.80000000000001</v>
      </c>
      <c r="K122" s="4">
        <v>166</v>
      </c>
      <c r="L122" s="4">
        <v>107.5</v>
      </c>
      <c r="M122" s="4">
        <v>132.19999999999999</v>
      </c>
      <c r="N122" s="4">
        <v>126.1</v>
      </c>
      <c r="O122" s="4">
        <v>138.30000000000001</v>
      </c>
      <c r="P122" s="4">
        <v>133.6</v>
      </c>
      <c r="Q122" s="4">
        <v>136</v>
      </c>
      <c r="R122" s="4">
        <v>135.4</v>
      </c>
      <c r="S122" s="4">
        <v>131.1</v>
      </c>
      <c r="T122" s="4">
        <v>134.80000000000001</v>
      </c>
      <c r="U122" s="4">
        <v>126</v>
      </c>
      <c r="V122" s="4">
        <v>127.4</v>
      </c>
      <c r="W122" s="4">
        <v>128.5</v>
      </c>
      <c r="X122" s="4">
        <v>125.8</v>
      </c>
      <c r="Y122" s="4">
        <v>115.1</v>
      </c>
      <c r="Z122" s="4">
        <v>123.6</v>
      </c>
      <c r="AA122" s="4">
        <v>129.1</v>
      </c>
      <c r="AB122" s="4">
        <v>119.7</v>
      </c>
      <c r="AC122" s="4">
        <v>122.5</v>
      </c>
      <c r="AD122" s="4">
        <v>130.30000000000001</v>
      </c>
    </row>
    <row r="123" spans="1:30" hidden="1" x14ac:dyDescent="0.3">
      <c r="A123" t="s">
        <v>33</v>
      </c>
      <c r="B123">
        <v>2016</v>
      </c>
      <c r="C123" t="s">
        <v>38</v>
      </c>
      <c r="D123" s="4">
        <v>125</v>
      </c>
      <c r="E123" s="4">
        <v>142.1</v>
      </c>
      <c r="F123" s="4">
        <v>127</v>
      </c>
      <c r="G123" s="4">
        <v>130.4</v>
      </c>
      <c r="H123" s="4">
        <v>109.6</v>
      </c>
      <c r="I123" s="4">
        <v>133.5</v>
      </c>
      <c r="J123" s="4">
        <v>151.4</v>
      </c>
      <c r="K123" s="4">
        <v>182.8</v>
      </c>
      <c r="L123" s="4">
        <v>111.1</v>
      </c>
      <c r="M123" s="4">
        <v>141.5</v>
      </c>
      <c r="N123" s="4">
        <v>121.5</v>
      </c>
      <c r="O123" s="4">
        <v>136.30000000000001</v>
      </c>
      <c r="P123" s="4">
        <v>134.6</v>
      </c>
      <c r="Q123" s="4">
        <v>142.19999999999999</v>
      </c>
      <c r="R123" s="4">
        <v>127.2</v>
      </c>
      <c r="S123" s="4">
        <v>120.7</v>
      </c>
      <c r="T123" s="4">
        <v>126.2</v>
      </c>
      <c r="U123" s="4">
        <v>126</v>
      </c>
      <c r="V123" s="4">
        <v>115</v>
      </c>
      <c r="W123" s="4">
        <v>123.2</v>
      </c>
      <c r="X123" s="4">
        <v>120.3</v>
      </c>
      <c r="Y123" s="4">
        <v>110.7</v>
      </c>
      <c r="Z123" s="4">
        <v>119.8</v>
      </c>
      <c r="AA123" s="4">
        <v>128</v>
      </c>
      <c r="AB123" s="4">
        <v>118.5</v>
      </c>
      <c r="AC123" s="4">
        <v>118.7</v>
      </c>
      <c r="AD123" s="4">
        <v>126.6</v>
      </c>
    </row>
    <row r="124" spans="1:30" hidden="1" x14ac:dyDescent="0.3">
      <c r="A124" t="s">
        <v>34</v>
      </c>
      <c r="B124">
        <v>2016</v>
      </c>
      <c r="C124" t="s">
        <v>38</v>
      </c>
      <c r="D124" s="4">
        <v>126.8</v>
      </c>
      <c r="E124" s="4">
        <v>139.1</v>
      </c>
      <c r="F124" s="4">
        <v>125.4</v>
      </c>
      <c r="G124" s="4">
        <v>131.69999999999999</v>
      </c>
      <c r="H124" s="4">
        <v>115</v>
      </c>
      <c r="I124" s="4">
        <v>136</v>
      </c>
      <c r="J124" s="4">
        <v>145.1</v>
      </c>
      <c r="K124" s="4">
        <v>171.7</v>
      </c>
      <c r="L124" s="4">
        <v>108.7</v>
      </c>
      <c r="M124" s="4">
        <v>135.30000000000001</v>
      </c>
      <c r="N124" s="4">
        <v>124.2</v>
      </c>
      <c r="O124" s="4">
        <v>137.4</v>
      </c>
      <c r="P124" s="4">
        <v>134</v>
      </c>
      <c r="Q124" s="4">
        <v>137.69999999999999</v>
      </c>
      <c r="R124" s="4">
        <v>132.19999999999999</v>
      </c>
      <c r="S124" s="4">
        <v>126.8</v>
      </c>
      <c r="T124" s="4">
        <v>131.4</v>
      </c>
      <c r="U124" s="4">
        <v>126</v>
      </c>
      <c r="V124" s="4">
        <v>122.7</v>
      </c>
      <c r="W124" s="4">
        <v>126</v>
      </c>
      <c r="X124" s="4">
        <v>123.7</v>
      </c>
      <c r="Y124" s="4">
        <v>112.8</v>
      </c>
      <c r="Z124" s="4">
        <v>121.5</v>
      </c>
      <c r="AA124" s="4">
        <v>128.5</v>
      </c>
      <c r="AB124" s="4">
        <v>119.2</v>
      </c>
      <c r="AC124" s="4">
        <v>120.7</v>
      </c>
      <c r="AD124" s="4">
        <v>128.6</v>
      </c>
    </row>
    <row r="125" spans="1:30" hidden="1" x14ac:dyDescent="0.3">
      <c r="A125" t="s">
        <v>30</v>
      </c>
      <c r="B125">
        <v>2016</v>
      </c>
      <c r="C125" t="s">
        <v>39</v>
      </c>
      <c r="D125" s="4">
        <v>128.6</v>
      </c>
      <c r="E125" s="4">
        <v>138.6</v>
      </c>
      <c r="F125" s="4">
        <v>126.6</v>
      </c>
      <c r="G125" s="4">
        <v>133.6</v>
      </c>
      <c r="H125" s="4">
        <v>118.6</v>
      </c>
      <c r="I125" s="4">
        <v>137.4</v>
      </c>
      <c r="J125" s="4">
        <v>152.5</v>
      </c>
      <c r="K125" s="4">
        <v>169.2</v>
      </c>
      <c r="L125" s="4">
        <v>108.8</v>
      </c>
      <c r="M125" s="4">
        <v>133.1</v>
      </c>
      <c r="N125" s="4">
        <v>126.4</v>
      </c>
      <c r="O125" s="4">
        <v>139.19999999999999</v>
      </c>
      <c r="P125" s="4">
        <v>136</v>
      </c>
      <c r="Q125" s="4">
        <v>137.19999999999999</v>
      </c>
      <c r="R125" s="4">
        <v>136.30000000000001</v>
      </c>
      <c r="S125" s="4">
        <v>131.6</v>
      </c>
      <c r="T125" s="4">
        <v>135.6</v>
      </c>
      <c r="U125" s="4">
        <v>125.5</v>
      </c>
      <c r="V125" s="4">
        <v>128</v>
      </c>
      <c r="W125" s="4">
        <v>129.30000000000001</v>
      </c>
      <c r="X125" s="4">
        <v>126.2</v>
      </c>
      <c r="Y125" s="4">
        <v>116.3</v>
      </c>
      <c r="Z125" s="4">
        <v>124.1</v>
      </c>
      <c r="AA125" s="4">
        <v>130.19999999999999</v>
      </c>
      <c r="AB125" s="4">
        <v>119.9</v>
      </c>
      <c r="AC125" s="4">
        <v>123.3</v>
      </c>
      <c r="AD125" s="4">
        <v>131.9</v>
      </c>
    </row>
    <row r="126" spans="1:30" hidden="1" x14ac:dyDescent="0.3">
      <c r="A126" t="s">
        <v>33</v>
      </c>
      <c r="B126">
        <v>2016</v>
      </c>
      <c r="C126" t="s">
        <v>39</v>
      </c>
      <c r="D126" s="4">
        <v>125.9</v>
      </c>
      <c r="E126" s="4">
        <v>143.9</v>
      </c>
      <c r="F126" s="4">
        <v>130.9</v>
      </c>
      <c r="G126" s="4">
        <v>131</v>
      </c>
      <c r="H126" s="4">
        <v>110.2</v>
      </c>
      <c r="I126" s="4">
        <v>135.5</v>
      </c>
      <c r="J126" s="4">
        <v>173.7</v>
      </c>
      <c r="K126" s="4">
        <v>184.4</v>
      </c>
      <c r="L126" s="4">
        <v>112</v>
      </c>
      <c r="M126" s="4">
        <v>142.80000000000001</v>
      </c>
      <c r="N126" s="4">
        <v>121.6</v>
      </c>
      <c r="O126" s="4">
        <v>136.9</v>
      </c>
      <c r="P126" s="4">
        <v>138.19999999999999</v>
      </c>
      <c r="Q126" s="4">
        <v>142.69999999999999</v>
      </c>
      <c r="R126" s="4">
        <v>127.6</v>
      </c>
      <c r="S126" s="4">
        <v>121.1</v>
      </c>
      <c r="T126" s="4">
        <v>126.6</v>
      </c>
      <c r="U126" s="4">
        <v>125.5</v>
      </c>
      <c r="V126" s="4">
        <v>115.5</v>
      </c>
      <c r="W126" s="4">
        <v>123.2</v>
      </c>
      <c r="X126" s="4">
        <v>120.6</v>
      </c>
      <c r="Y126" s="4">
        <v>112.3</v>
      </c>
      <c r="Z126" s="4">
        <v>119.9</v>
      </c>
      <c r="AA126" s="4">
        <v>129.30000000000001</v>
      </c>
      <c r="AB126" s="4">
        <v>118.8</v>
      </c>
      <c r="AC126" s="4">
        <v>119.6</v>
      </c>
      <c r="AD126" s="4">
        <v>128.1</v>
      </c>
    </row>
    <row r="127" spans="1:30" hidden="1" x14ac:dyDescent="0.3">
      <c r="A127" t="s">
        <v>34</v>
      </c>
      <c r="B127">
        <v>2016</v>
      </c>
      <c r="C127" t="s">
        <v>39</v>
      </c>
      <c r="D127" s="4">
        <v>127.7</v>
      </c>
      <c r="E127" s="4">
        <v>140.5</v>
      </c>
      <c r="F127" s="4">
        <v>128.30000000000001</v>
      </c>
      <c r="G127" s="4">
        <v>132.6</v>
      </c>
      <c r="H127" s="4">
        <v>115.5</v>
      </c>
      <c r="I127" s="4">
        <v>136.5</v>
      </c>
      <c r="J127" s="4">
        <v>159.69999999999999</v>
      </c>
      <c r="K127" s="4">
        <v>174.3</v>
      </c>
      <c r="L127" s="4">
        <v>109.9</v>
      </c>
      <c r="M127" s="4">
        <v>136.30000000000001</v>
      </c>
      <c r="N127" s="4">
        <v>124.4</v>
      </c>
      <c r="O127" s="4">
        <v>138.1</v>
      </c>
      <c r="P127" s="4">
        <v>136.80000000000001</v>
      </c>
      <c r="Q127" s="4">
        <v>138.69999999999999</v>
      </c>
      <c r="R127" s="4">
        <v>132.9</v>
      </c>
      <c r="S127" s="4">
        <v>127.2</v>
      </c>
      <c r="T127" s="4">
        <v>132</v>
      </c>
      <c r="U127" s="4">
        <v>125.5</v>
      </c>
      <c r="V127" s="4">
        <v>123.3</v>
      </c>
      <c r="W127" s="4">
        <v>126.4</v>
      </c>
      <c r="X127" s="4">
        <v>124.1</v>
      </c>
      <c r="Y127" s="4">
        <v>114.2</v>
      </c>
      <c r="Z127" s="4">
        <v>121.7</v>
      </c>
      <c r="AA127" s="4">
        <v>129.69999999999999</v>
      </c>
      <c r="AB127" s="4">
        <v>119.4</v>
      </c>
      <c r="AC127" s="4">
        <v>121.5</v>
      </c>
      <c r="AD127" s="4">
        <v>130.1</v>
      </c>
    </row>
    <row r="128" spans="1:30" hidden="1" x14ac:dyDescent="0.3">
      <c r="A128" t="s">
        <v>30</v>
      </c>
      <c r="B128">
        <v>2016</v>
      </c>
      <c r="C128" t="s">
        <v>40</v>
      </c>
      <c r="D128" s="4">
        <v>129.30000000000001</v>
      </c>
      <c r="E128" s="4">
        <v>139.5</v>
      </c>
      <c r="F128" s="4">
        <v>129.6</v>
      </c>
      <c r="G128" s="4">
        <v>134.5</v>
      </c>
      <c r="H128" s="4">
        <v>119.5</v>
      </c>
      <c r="I128" s="4">
        <v>138.5</v>
      </c>
      <c r="J128" s="4">
        <v>158.19999999999999</v>
      </c>
      <c r="K128" s="4">
        <v>171.8</v>
      </c>
      <c r="L128" s="4">
        <v>110.3</v>
      </c>
      <c r="M128" s="4">
        <v>134.30000000000001</v>
      </c>
      <c r="N128" s="4">
        <v>127.3</v>
      </c>
      <c r="O128" s="4">
        <v>139.9</v>
      </c>
      <c r="P128" s="4">
        <v>137.6</v>
      </c>
      <c r="Q128" s="4">
        <v>138</v>
      </c>
      <c r="R128" s="4">
        <v>137.19999999999999</v>
      </c>
      <c r="S128" s="4">
        <v>132.19999999999999</v>
      </c>
      <c r="T128" s="4">
        <v>136.5</v>
      </c>
      <c r="U128" s="4">
        <v>126.4</v>
      </c>
      <c r="V128" s="4">
        <v>128.19999999999999</v>
      </c>
      <c r="W128" s="4">
        <v>130</v>
      </c>
      <c r="X128" s="4">
        <v>126.7</v>
      </c>
      <c r="Y128" s="4">
        <v>116.4</v>
      </c>
      <c r="Z128" s="4">
        <v>125.2</v>
      </c>
      <c r="AA128" s="4">
        <v>130.80000000000001</v>
      </c>
      <c r="AB128" s="4">
        <v>120.9</v>
      </c>
      <c r="AC128" s="4">
        <v>123.8</v>
      </c>
      <c r="AD128" s="4">
        <v>133</v>
      </c>
    </row>
    <row r="129" spans="1:30" hidden="1" x14ac:dyDescent="0.3">
      <c r="A129" t="s">
        <v>33</v>
      </c>
      <c r="B129">
        <v>2016</v>
      </c>
      <c r="C129" t="s">
        <v>40</v>
      </c>
      <c r="D129" s="4">
        <v>126.8</v>
      </c>
      <c r="E129" s="4">
        <v>144.19999999999999</v>
      </c>
      <c r="F129" s="4">
        <v>136.6</v>
      </c>
      <c r="G129" s="4">
        <v>131.80000000000001</v>
      </c>
      <c r="H129" s="4">
        <v>111</v>
      </c>
      <c r="I129" s="4">
        <v>137</v>
      </c>
      <c r="J129" s="4">
        <v>179.5</v>
      </c>
      <c r="K129" s="4">
        <v>188.4</v>
      </c>
      <c r="L129" s="4">
        <v>113.3</v>
      </c>
      <c r="M129" s="4">
        <v>143.9</v>
      </c>
      <c r="N129" s="4">
        <v>121.7</v>
      </c>
      <c r="O129" s="4">
        <v>137.5</v>
      </c>
      <c r="P129" s="4">
        <v>139.80000000000001</v>
      </c>
      <c r="Q129" s="4">
        <v>142.9</v>
      </c>
      <c r="R129" s="4">
        <v>127.9</v>
      </c>
      <c r="S129" s="4">
        <v>121.1</v>
      </c>
      <c r="T129" s="4">
        <v>126.9</v>
      </c>
      <c r="U129" s="4">
        <v>126.4</v>
      </c>
      <c r="V129" s="4">
        <v>115.5</v>
      </c>
      <c r="W129" s="4">
        <v>123.5</v>
      </c>
      <c r="X129" s="4">
        <v>120.9</v>
      </c>
      <c r="Y129" s="4">
        <v>111.7</v>
      </c>
      <c r="Z129" s="4">
        <v>120.3</v>
      </c>
      <c r="AA129" s="4">
        <v>130.80000000000001</v>
      </c>
      <c r="AB129" s="4">
        <v>120</v>
      </c>
      <c r="AC129" s="4">
        <v>119.9</v>
      </c>
      <c r="AD129" s="4">
        <v>129</v>
      </c>
    </row>
    <row r="130" spans="1:30" hidden="1" x14ac:dyDescent="0.3">
      <c r="A130" t="s">
        <v>34</v>
      </c>
      <c r="B130">
        <v>2016</v>
      </c>
      <c r="C130" t="s">
        <v>40</v>
      </c>
      <c r="D130" s="4">
        <v>128.5</v>
      </c>
      <c r="E130" s="4">
        <v>141.19999999999999</v>
      </c>
      <c r="F130" s="4">
        <v>132.30000000000001</v>
      </c>
      <c r="G130" s="4">
        <v>133.5</v>
      </c>
      <c r="H130" s="4">
        <v>116.4</v>
      </c>
      <c r="I130" s="4">
        <v>137.80000000000001</v>
      </c>
      <c r="J130" s="4">
        <v>165.4</v>
      </c>
      <c r="K130" s="4">
        <v>177.4</v>
      </c>
      <c r="L130" s="4">
        <v>111.3</v>
      </c>
      <c r="M130" s="4">
        <v>137.5</v>
      </c>
      <c r="N130" s="4">
        <v>125</v>
      </c>
      <c r="O130" s="4">
        <v>138.80000000000001</v>
      </c>
      <c r="P130" s="4">
        <v>138.4</v>
      </c>
      <c r="Q130" s="4">
        <v>139.30000000000001</v>
      </c>
      <c r="R130" s="4">
        <v>133.5</v>
      </c>
      <c r="S130" s="4">
        <v>127.6</v>
      </c>
      <c r="T130" s="4">
        <v>132.69999999999999</v>
      </c>
      <c r="U130" s="4">
        <v>126.4</v>
      </c>
      <c r="V130" s="4">
        <v>123.4</v>
      </c>
      <c r="W130" s="4">
        <v>126.9</v>
      </c>
      <c r="X130" s="4">
        <v>124.5</v>
      </c>
      <c r="Y130" s="4">
        <v>113.9</v>
      </c>
      <c r="Z130" s="4">
        <v>122.4</v>
      </c>
      <c r="AA130" s="4">
        <v>130.80000000000001</v>
      </c>
      <c r="AB130" s="4">
        <v>120.5</v>
      </c>
      <c r="AC130" s="4">
        <v>121.9</v>
      </c>
      <c r="AD130" s="4">
        <v>131.1</v>
      </c>
    </row>
    <row r="131" spans="1:30" hidden="1" x14ac:dyDescent="0.3">
      <c r="A131" t="s">
        <v>30</v>
      </c>
      <c r="B131">
        <v>2016</v>
      </c>
      <c r="C131" t="s">
        <v>41</v>
      </c>
      <c r="D131" s="4">
        <v>130.1</v>
      </c>
      <c r="E131" s="4">
        <v>138.80000000000001</v>
      </c>
      <c r="F131" s="4">
        <v>130.30000000000001</v>
      </c>
      <c r="G131" s="4">
        <v>135.30000000000001</v>
      </c>
      <c r="H131" s="4">
        <v>119.9</v>
      </c>
      <c r="I131" s="4">
        <v>140.19999999999999</v>
      </c>
      <c r="J131" s="4">
        <v>156.9</v>
      </c>
      <c r="K131" s="4">
        <v>172.2</v>
      </c>
      <c r="L131" s="4">
        <v>112.1</v>
      </c>
      <c r="M131" s="4">
        <v>134.9</v>
      </c>
      <c r="N131" s="4">
        <v>128.1</v>
      </c>
      <c r="O131" s="4">
        <v>140.69999999999999</v>
      </c>
      <c r="P131" s="4">
        <v>138</v>
      </c>
      <c r="Q131" s="4">
        <v>138.9</v>
      </c>
      <c r="R131" s="4">
        <v>137.80000000000001</v>
      </c>
      <c r="S131" s="4">
        <v>133</v>
      </c>
      <c r="T131" s="4">
        <v>137.1</v>
      </c>
      <c r="U131" s="4">
        <v>127.3</v>
      </c>
      <c r="V131" s="4">
        <v>129.1</v>
      </c>
      <c r="W131" s="4">
        <v>130.6</v>
      </c>
      <c r="X131" s="4">
        <v>127</v>
      </c>
      <c r="Y131" s="4">
        <v>116</v>
      </c>
      <c r="Z131" s="4">
        <v>125.5</v>
      </c>
      <c r="AA131" s="4">
        <v>131.9</v>
      </c>
      <c r="AB131" s="4">
        <v>122</v>
      </c>
      <c r="AC131" s="4">
        <v>124.2</v>
      </c>
      <c r="AD131" s="4">
        <v>133.5</v>
      </c>
    </row>
    <row r="132" spans="1:30" hidden="1" x14ac:dyDescent="0.3">
      <c r="A132" t="s">
        <v>33</v>
      </c>
      <c r="B132">
        <v>2016</v>
      </c>
      <c r="C132" t="s">
        <v>41</v>
      </c>
      <c r="D132" s="4">
        <v>127.6</v>
      </c>
      <c r="E132" s="4">
        <v>140.30000000000001</v>
      </c>
      <c r="F132" s="4">
        <v>133.69999999999999</v>
      </c>
      <c r="G132" s="4">
        <v>132.19999999999999</v>
      </c>
      <c r="H132" s="4">
        <v>111.8</v>
      </c>
      <c r="I132" s="4">
        <v>135.80000000000001</v>
      </c>
      <c r="J132" s="4">
        <v>163.5</v>
      </c>
      <c r="K132" s="4">
        <v>182.3</v>
      </c>
      <c r="L132" s="4">
        <v>114.6</v>
      </c>
      <c r="M132" s="4">
        <v>144.6</v>
      </c>
      <c r="N132" s="4">
        <v>121.9</v>
      </c>
      <c r="O132" s="4">
        <v>138.1</v>
      </c>
      <c r="P132" s="4">
        <v>137.6</v>
      </c>
      <c r="Q132" s="4">
        <v>143.6</v>
      </c>
      <c r="R132" s="4">
        <v>128.30000000000001</v>
      </c>
      <c r="S132" s="4">
        <v>121.4</v>
      </c>
      <c r="T132" s="4">
        <v>127.3</v>
      </c>
      <c r="U132" s="4">
        <v>127.3</v>
      </c>
      <c r="V132" s="4">
        <v>114.7</v>
      </c>
      <c r="W132" s="4">
        <v>123.9</v>
      </c>
      <c r="X132" s="4">
        <v>121.2</v>
      </c>
      <c r="Y132" s="4">
        <v>110.4</v>
      </c>
      <c r="Z132" s="4">
        <v>120.6</v>
      </c>
      <c r="AA132" s="4">
        <v>131.5</v>
      </c>
      <c r="AB132" s="4">
        <v>120.9</v>
      </c>
      <c r="AC132" s="4">
        <v>119.9</v>
      </c>
      <c r="AD132" s="4">
        <v>128.4</v>
      </c>
    </row>
    <row r="133" spans="1:30" hidden="1" x14ac:dyDescent="0.3">
      <c r="A133" t="s">
        <v>34</v>
      </c>
      <c r="B133">
        <v>2016</v>
      </c>
      <c r="C133" t="s">
        <v>41</v>
      </c>
      <c r="D133" s="4">
        <v>129.30000000000001</v>
      </c>
      <c r="E133" s="4">
        <v>139.30000000000001</v>
      </c>
      <c r="F133" s="4">
        <v>131.6</v>
      </c>
      <c r="G133" s="4">
        <v>134.1</v>
      </c>
      <c r="H133" s="4">
        <v>116.9</v>
      </c>
      <c r="I133" s="4">
        <v>138.1</v>
      </c>
      <c r="J133" s="4">
        <v>159.1</v>
      </c>
      <c r="K133" s="4">
        <v>175.6</v>
      </c>
      <c r="L133" s="4">
        <v>112.9</v>
      </c>
      <c r="M133" s="4">
        <v>138.1</v>
      </c>
      <c r="N133" s="4">
        <v>125.5</v>
      </c>
      <c r="O133" s="4">
        <v>139.5</v>
      </c>
      <c r="P133" s="4">
        <v>137.9</v>
      </c>
      <c r="Q133" s="4">
        <v>140.19999999999999</v>
      </c>
      <c r="R133" s="4">
        <v>134.1</v>
      </c>
      <c r="S133" s="4">
        <v>128.19999999999999</v>
      </c>
      <c r="T133" s="4">
        <v>133.19999999999999</v>
      </c>
      <c r="U133" s="4">
        <v>127.3</v>
      </c>
      <c r="V133" s="4">
        <v>123.6</v>
      </c>
      <c r="W133" s="4">
        <v>127.4</v>
      </c>
      <c r="X133" s="4">
        <v>124.8</v>
      </c>
      <c r="Y133" s="4">
        <v>113.1</v>
      </c>
      <c r="Z133" s="4">
        <v>122.7</v>
      </c>
      <c r="AA133" s="4">
        <v>131.69999999999999</v>
      </c>
      <c r="AB133" s="4">
        <v>121.5</v>
      </c>
      <c r="AC133" s="4">
        <v>122.1</v>
      </c>
      <c r="AD133" s="4">
        <v>131.1</v>
      </c>
    </row>
    <row r="134" spans="1:30" hidden="1" x14ac:dyDescent="0.3">
      <c r="A134" t="s">
        <v>30</v>
      </c>
      <c r="B134">
        <v>2016</v>
      </c>
      <c r="C134" t="s">
        <v>42</v>
      </c>
      <c r="D134" s="4">
        <v>130.80000000000001</v>
      </c>
      <c r="E134" s="4">
        <v>138.19999999999999</v>
      </c>
      <c r="F134" s="4">
        <v>130.5</v>
      </c>
      <c r="G134" s="4">
        <v>135.5</v>
      </c>
      <c r="H134" s="4">
        <v>120.2</v>
      </c>
      <c r="I134" s="4">
        <v>139.19999999999999</v>
      </c>
      <c r="J134" s="4">
        <v>149.5</v>
      </c>
      <c r="K134" s="4">
        <v>170.4</v>
      </c>
      <c r="L134" s="4">
        <v>113.1</v>
      </c>
      <c r="M134" s="4">
        <v>135.80000000000001</v>
      </c>
      <c r="N134" s="4">
        <v>128.80000000000001</v>
      </c>
      <c r="O134" s="4">
        <v>141.5</v>
      </c>
      <c r="P134" s="4">
        <v>137.19999999999999</v>
      </c>
      <c r="Q134" s="4">
        <v>139.9</v>
      </c>
      <c r="R134" s="4">
        <v>138.5</v>
      </c>
      <c r="S134" s="4">
        <v>133.5</v>
      </c>
      <c r="T134" s="4">
        <v>137.80000000000001</v>
      </c>
      <c r="U134" s="4">
        <v>127.9</v>
      </c>
      <c r="V134" s="4">
        <v>129.69999999999999</v>
      </c>
      <c r="W134" s="4">
        <v>131.1</v>
      </c>
      <c r="X134" s="4">
        <v>127.8</v>
      </c>
      <c r="Y134" s="4">
        <v>117</v>
      </c>
      <c r="Z134" s="4">
        <v>125.7</v>
      </c>
      <c r="AA134" s="4">
        <v>132.19999999999999</v>
      </c>
      <c r="AB134" s="4">
        <v>122.8</v>
      </c>
      <c r="AC134" s="4">
        <v>124.9</v>
      </c>
      <c r="AD134" s="4">
        <v>133.4</v>
      </c>
    </row>
    <row r="135" spans="1:30" hidden="1" x14ac:dyDescent="0.3">
      <c r="A135" t="s">
        <v>33</v>
      </c>
      <c r="B135">
        <v>2016</v>
      </c>
      <c r="C135" t="s">
        <v>42</v>
      </c>
      <c r="D135" s="4">
        <v>128.1</v>
      </c>
      <c r="E135" s="4">
        <v>137.69999999999999</v>
      </c>
      <c r="F135" s="4">
        <v>130.6</v>
      </c>
      <c r="G135" s="4">
        <v>132.6</v>
      </c>
      <c r="H135" s="4">
        <v>111.9</v>
      </c>
      <c r="I135" s="4">
        <v>132.5</v>
      </c>
      <c r="J135" s="4">
        <v>152.9</v>
      </c>
      <c r="K135" s="4">
        <v>173.6</v>
      </c>
      <c r="L135" s="4">
        <v>115.1</v>
      </c>
      <c r="M135" s="4">
        <v>144.80000000000001</v>
      </c>
      <c r="N135" s="4">
        <v>122.1</v>
      </c>
      <c r="O135" s="4">
        <v>138.80000000000001</v>
      </c>
      <c r="P135" s="4">
        <v>135.69999999999999</v>
      </c>
      <c r="Q135" s="4">
        <v>143.9</v>
      </c>
      <c r="R135" s="4">
        <v>128.69999999999999</v>
      </c>
      <c r="S135" s="4">
        <v>121.6</v>
      </c>
      <c r="T135" s="4">
        <v>127.7</v>
      </c>
      <c r="U135" s="4">
        <v>127.9</v>
      </c>
      <c r="V135" s="4">
        <v>114.8</v>
      </c>
      <c r="W135" s="4">
        <v>124.3</v>
      </c>
      <c r="X135" s="4">
        <v>121.4</v>
      </c>
      <c r="Y135" s="4">
        <v>111.8</v>
      </c>
      <c r="Z135" s="4">
        <v>120.8</v>
      </c>
      <c r="AA135" s="4">
        <v>131.6</v>
      </c>
      <c r="AB135" s="4">
        <v>121.2</v>
      </c>
      <c r="AC135" s="4">
        <v>120.5</v>
      </c>
      <c r="AD135" s="4">
        <v>128</v>
      </c>
    </row>
    <row r="136" spans="1:30" hidden="1" x14ac:dyDescent="0.3">
      <c r="A136" t="s">
        <v>34</v>
      </c>
      <c r="B136">
        <v>2016</v>
      </c>
      <c r="C136" t="s">
        <v>42</v>
      </c>
      <c r="D136" s="4">
        <v>129.9</v>
      </c>
      <c r="E136" s="4">
        <v>138</v>
      </c>
      <c r="F136" s="4">
        <v>130.5</v>
      </c>
      <c r="G136" s="4">
        <v>134.4</v>
      </c>
      <c r="H136" s="4">
        <v>117.2</v>
      </c>
      <c r="I136" s="4">
        <v>136.1</v>
      </c>
      <c r="J136" s="4">
        <v>150.69999999999999</v>
      </c>
      <c r="K136" s="4">
        <v>171.5</v>
      </c>
      <c r="L136" s="4">
        <v>113.8</v>
      </c>
      <c r="M136" s="4">
        <v>138.80000000000001</v>
      </c>
      <c r="N136" s="4">
        <v>126</v>
      </c>
      <c r="O136" s="4">
        <v>140.19999999999999</v>
      </c>
      <c r="P136" s="4">
        <v>136.6</v>
      </c>
      <c r="Q136" s="4">
        <v>141</v>
      </c>
      <c r="R136" s="4">
        <v>134.6</v>
      </c>
      <c r="S136" s="4">
        <v>128.6</v>
      </c>
      <c r="T136" s="4">
        <v>133.80000000000001</v>
      </c>
      <c r="U136" s="4">
        <v>127.9</v>
      </c>
      <c r="V136" s="4">
        <v>124.1</v>
      </c>
      <c r="W136" s="4">
        <v>127.9</v>
      </c>
      <c r="X136" s="4">
        <v>125.4</v>
      </c>
      <c r="Y136" s="4">
        <v>114.3</v>
      </c>
      <c r="Z136" s="4">
        <v>122.9</v>
      </c>
      <c r="AA136" s="4">
        <v>131.80000000000001</v>
      </c>
      <c r="AB136" s="4">
        <v>122.1</v>
      </c>
      <c r="AC136" s="4">
        <v>122.8</v>
      </c>
      <c r="AD136" s="4">
        <v>130.9</v>
      </c>
    </row>
    <row r="137" spans="1:30" hidden="1" x14ac:dyDescent="0.3">
      <c r="A137" t="s">
        <v>30</v>
      </c>
      <c r="B137">
        <v>2016</v>
      </c>
      <c r="C137" t="s">
        <v>43</v>
      </c>
      <c r="D137" s="4">
        <v>131.30000000000001</v>
      </c>
      <c r="E137" s="4">
        <v>137.6</v>
      </c>
      <c r="F137" s="4">
        <v>130.1</v>
      </c>
      <c r="G137" s="4">
        <v>136</v>
      </c>
      <c r="H137" s="4">
        <v>120.8</v>
      </c>
      <c r="I137" s="4">
        <v>138.4</v>
      </c>
      <c r="J137" s="4">
        <v>149.19999999999999</v>
      </c>
      <c r="K137" s="4">
        <v>170.2</v>
      </c>
      <c r="L137" s="4">
        <v>113.4</v>
      </c>
      <c r="M137" s="4">
        <v>136.30000000000001</v>
      </c>
      <c r="N137" s="4">
        <v>128.69999999999999</v>
      </c>
      <c r="O137" s="4">
        <v>142.4</v>
      </c>
      <c r="P137" s="4">
        <v>137.4</v>
      </c>
      <c r="Q137" s="4">
        <v>140.9</v>
      </c>
      <c r="R137" s="4">
        <v>139.6</v>
      </c>
      <c r="S137" s="4">
        <v>134.30000000000001</v>
      </c>
      <c r="T137" s="4">
        <v>138.80000000000001</v>
      </c>
      <c r="U137" s="4">
        <v>128.69999999999999</v>
      </c>
      <c r="V137" s="4">
        <v>129.80000000000001</v>
      </c>
      <c r="W137" s="4">
        <v>131.80000000000001</v>
      </c>
      <c r="X137" s="4">
        <v>128.69999999999999</v>
      </c>
      <c r="Y137" s="4">
        <v>117.8</v>
      </c>
      <c r="Z137" s="4">
        <v>126.5</v>
      </c>
      <c r="AA137" s="4">
        <v>133</v>
      </c>
      <c r="AB137" s="4">
        <v>123</v>
      </c>
      <c r="AC137" s="4">
        <v>125.7</v>
      </c>
      <c r="AD137" s="4">
        <v>133.80000000000001</v>
      </c>
    </row>
    <row r="138" spans="1:30" hidden="1" x14ac:dyDescent="0.3">
      <c r="A138" t="s">
        <v>33</v>
      </c>
      <c r="B138">
        <v>2016</v>
      </c>
      <c r="C138" t="s">
        <v>43</v>
      </c>
      <c r="D138" s="4">
        <v>128.69999999999999</v>
      </c>
      <c r="E138" s="4">
        <v>138.4</v>
      </c>
      <c r="F138" s="4">
        <v>130.30000000000001</v>
      </c>
      <c r="G138" s="4">
        <v>132.69999999999999</v>
      </c>
      <c r="H138" s="4">
        <v>112.5</v>
      </c>
      <c r="I138" s="4">
        <v>130.4</v>
      </c>
      <c r="J138" s="4">
        <v>155.1</v>
      </c>
      <c r="K138" s="4">
        <v>175.7</v>
      </c>
      <c r="L138" s="4">
        <v>115.4</v>
      </c>
      <c r="M138" s="4">
        <v>145.30000000000001</v>
      </c>
      <c r="N138" s="4">
        <v>122.5</v>
      </c>
      <c r="O138" s="4">
        <v>139.6</v>
      </c>
      <c r="P138" s="4">
        <v>136.30000000000001</v>
      </c>
      <c r="Q138" s="4">
        <v>144.30000000000001</v>
      </c>
      <c r="R138" s="4">
        <v>129.1</v>
      </c>
      <c r="S138" s="4">
        <v>121.9</v>
      </c>
      <c r="T138" s="4">
        <v>128</v>
      </c>
      <c r="U138" s="4">
        <v>128.69999999999999</v>
      </c>
      <c r="V138" s="4">
        <v>115.2</v>
      </c>
      <c r="W138" s="4">
        <v>124.5</v>
      </c>
      <c r="X138" s="4">
        <v>121.8</v>
      </c>
      <c r="Y138" s="4">
        <v>112.8</v>
      </c>
      <c r="Z138" s="4">
        <v>121.2</v>
      </c>
      <c r="AA138" s="4">
        <v>131.9</v>
      </c>
      <c r="AB138" s="4">
        <v>120.8</v>
      </c>
      <c r="AC138" s="4">
        <v>120.9</v>
      </c>
      <c r="AD138" s="4">
        <v>128.6</v>
      </c>
    </row>
    <row r="139" spans="1:30" hidden="1" x14ac:dyDescent="0.3">
      <c r="A139" t="s">
        <v>34</v>
      </c>
      <c r="B139">
        <v>2016</v>
      </c>
      <c r="C139" t="s">
        <v>43</v>
      </c>
      <c r="D139" s="4">
        <v>130.5</v>
      </c>
      <c r="E139" s="4">
        <v>137.9</v>
      </c>
      <c r="F139" s="4">
        <v>130.19999999999999</v>
      </c>
      <c r="G139" s="4">
        <v>134.80000000000001</v>
      </c>
      <c r="H139" s="4">
        <v>117.8</v>
      </c>
      <c r="I139" s="4">
        <v>134.69999999999999</v>
      </c>
      <c r="J139" s="4">
        <v>151.19999999999999</v>
      </c>
      <c r="K139" s="4">
        <v>172.1</v>
      </c>
      <c r="L139" s="4">
        <v>114.1</v>
      </c>
      <c r="M139" s="4">
        <v>139.30000000000001</v>
      </c>
      <c r="N139" s="4">
        <v>126.1</v>
      </c>
      <c r="O139" s="4">
        <v>141.1</v>
      </c>
      <c r="P139" s="4">
        <v>137</v>
      </c>
      <c r="Q139" s="4">
        <v>141.80000000000001</v>
      </c>
      <c r="R139" s="4">
        <v>135.5</v>
      </c>
      <c r="S139" s="4">
        <v>129.1</v>
      </c>
      <c r="T139" s="4">
        <v>134.5</v>
      </c>
      <c r="U139" s="4">
        <v>128.69999999999999</v>
      </c>
      <c r="V139" s="4">
        <v>124.3</v>
      </c>
      <c r="W139" s="4">
        <v>128.4</v>
      </c>
      <c r="X139" s="4">
        <v>126.1</v>
      </c>
      <c r="Y139" s="4">
        <v>115.2</v>
      </c>
      <c r="Z139" s="4">
        <v>123.5</v>
      </c>
      <c r="AA139" s="4">
        <v>132.4</v>
      </c>
      <c r="AB139" s="4">
        <v>122.1</v>
      </c>
      <c r="AC139" s="4">
        <v>123.4</v>
      </c>
      <c r="AD139" s="4">
        <v>131.4</v>
      </c>
    </row>
    <row r="140" spans="1:30" hidden="1" x14ac:dyDescent="0.3">
      <c r="A140" t="s">
        <v>30</v>
      </c>
      <c r="B140">
        <v>2016</v>
      </c>
      <c r="C140" t="s">
        <v>45</v>
      </c>
      <c r="D140" s="4">
        <v>132</v>
      </c>
      <c r="E140" s="4">
        <v>137.4</v>
      </c>
      <c r="F140" s="4">
        <v>130.6</v>
      </c>
      <c r="G140" s="4">
        <v>136.19999999999999</v>
      </c>
      <c r="H140" s="4">
        <v>121.1</v>
      </c>
      <c r="I140" s="4">
        <v>136.9</v>
      </c>
      <c r="J140" s="4">
        <v>141.80000000000001</v>
      </c>
      <c r="K140" s="4">
        <v>170</v>
      </c>
      <c r="L140" s="4">
        <v>113.4</v>
      </c>
      <c r="M140" s="4">
        <v>136.80000000000001</v>
      </c>
      <c r="N140" s="4">
        <v>128.69999999999999</v>
      </c>
      <c r="O140" s="4">
        <v>143.1</v>
      </c>
      <c r="P140" s="4">
        <v>136.6</v>
      </c>
      <c r="Q140" s="4">
        <v>141.19999999999999</v>
      </c>
      <c r="R140" s="4">
        <v>139.9</v>
      </c>
      <c r="S140" s="4">
        <v>134.5</v>
      </c>
      <c r="T140" s="4">
        <v>139.19999999999999</v>
      </c>
      <c r="U140" s="4">
        <v>129.1</v>
      </c>
      <c r="V140" s="4">
        <v>130.30000000000001</v>
      </c>
      <c r="W140" s="4">
        <v>132.1</v>
      </c>
      <c r="X140" s="4">
        <v>129.1</v>
      </c>
      <c r="Y140" s="4">
        <v>118.2</v>
      </c>
      <c r="Z140" s="4">
        <v>126.9</v>
      </c>
      <c r="AA140" s="4">
        <v>133.69999999999999</v>
      </c>
      <c r="AB140" s="4">
        <v>123.5</v>
      </c>
      <c r="AC140" s="4">
        <v>126.1</v>
      </c>
      <c r="AD140" s="4">
        <v>133.6</v>
      </c>
    </row>
    <row r="141" spans="1:30" hidden="1" x14ac:dyDescent="0.3">
      <c r="A141" t="s">
        <v>33</v>
      </c>
      <c r="B141">
        <v>2016</v>
      </c>
      <c r="C141" t="s">
        <v>45</v>
      </c>
      <c r="D141" s="4">
        <v>130.19999999999999</v>
      </c>
      <c r="E141" s="4">
        <v>138.5</v>
      </c>
      <c r="F141" s="4">
        <v>134.1</v>
      </c>
      <c r="G141" s="4">
        <v>132.9</v>
      </c>
      <c r="H141" s="4">
        <v>112.6</v>
      </c>
      <c r="I141" s="4">
        <v>130.80000000000001</v>
      </c>
      <c r="J141" s="4">
        <v>142</v>
      </c>
      <c r="K141" s="4">
        <v>174.9</v>
      </c>
      <c r="L141" s="4">
        <v>115.6</v>
      </c>
      <c r="M141" s="4">
        <v>145.4</v>
      </c>
      <c r="N141" s="4">
        <v>122.7</v>
      </c>
      <c r="O141" s="4">
        <v>140.30000000000001</v>
      </c>
      <c r="P141" s="4">
        <v>135.19999999999999</v>
      </c>
      <c r="Q141" s="4">
        <v>144.30000000000001</v>
      </c>
      <c r="R141" s="4">
        <v>129.6</v>
      </c>
      <c r="S141" s="4">
        <v>122.1</v>
      </c>
      <c r="T141" s="4">
        <v>128.5</v>
      </c>
      <c r="U141" s="4">
        <v>129.1</v>
      </c>
      <c r="V141" s="4">
        <v>116.2</v>
      </c>
      <c r="W141" s="4">
        <v>124.7</v>
      </c>
      <c r="X141" s="4">
        <v>122.1</v>
      </c>
      <c r="Y141" s="4">
        <v>113.4</v>
      </c>
      <c r="Z141" s="4">
        <v>121.7</v>
      </c>
      <c r="AA141" s="4">
        <v>132.1</v>
      </c>
      <c r="AB141" s="4">
        <v>121.3</v>
      </c>
      <c r="AC141" s="4">
        <v>121.3</v>
      </c>
      <c r="AD141" s="4">
        <v>128.5</v>
      </c>
    </row>
    <row r="142" spans="1:30" hidden="1" x14ac:dyDescent="0.3">
      <c r="A142" t="s">
        <v>34</v>
      </c>
      <c r="B142">
        <v>2016</v>
      </c>
      <c r="C142" t="s">
        <v>45</v>
      </c>
      <c r="D142" s="4">
        <v>131.4</v>
      </c>
      <c r="E142" s="4">
        <v>137.80000000000001</v>
      </c>
      <c r="F142" s="4">
        <v>132</v>
      </c>
      <c r="G142" s="4">
        <v>135</v>
      </c>
      <c r="H142" s="4">
        <v>118</v>
      </c>
      <c r="I142" s="4">
        <v>134.1</v>
      </c>
      <c r="J142" s="4">
        <v>141.9</v>
      </c>
      <c r="K142" s="4">
        <v>171.7</v>
      </c>
      <c r="L142" s="4">
        <v>114.1</v>
      </c>
      <c r="M142" s="4">
        <v>139.69999999999999</v>
      </c>
      <c r="N142" s="4">
        <v>126.2</v>
      </c>
      <c r="O142" s="4">
        <v>141.80000000000001</v>
      </c>
      <c r="P142" s="4">
        <v>136.1</v>
      </c>
      <c r="Q142" s="4">
        <v>142</v>
      </c>
      <c r="R142" s="4">
        <v>135.80000000000001</v>
      </c>
      <c r="S142" s="4">
        <v>129.30000000000001</v>
      </c>
      <c r="T142" s="4">
        <v>135</v>
      </c>
      <c r="U142" s="4">
        <v>129.1</v>
      </c>
      <c r="V142" s="4">
        <v>125</v>
      </c>
      <c r="W142" s="4">
        <v>128.6</v>
      </c>
      <c r="X142" s="4">
        <v>126.4</v>
      </c>
      <c r="Y142" s="4">
        <v>115.7</v>
      </c>
      <c r="Z142" s="4">
        <v>124</v>
      </c>
      <c r="AA142" s="4">
        <v>132.80000000000001</v>
      </c>
      <c r="AB142" s="4">
        <v>122.6</v>
      </c>
      <c r="AC142" s="4">
        <v>123.8</v>
      </c>
      <c r="AD142" s="4">
        <v>131.19999999999999</v>
      </c>
    </row>
    <row r="143" spans="1:30" hidden="1" x14ac:dyDescent="0.3">
      <c r="A143" t="s">
        <v>30</v>
      </c>
      <c r="B143">
        <v>2016</v>
      </c>
      <c r="C143" t="s">
        <v>46</v>
      </c>
      <c r="D143" s="4">
        <v>132.6</v>
      </c>
      <c r="E143" s="4">
        <v>137.30000000000001</v>
      </c>
      <c r="F143" s="4">
        <v>131.6</v>
      </c>
      <c r="G143" s="4">
        <v>136.30000000000001</v>
      </c>
      <c r="H143" s="4">
        <v>121.6</v>
      </c>
      <c r="I143" s="4">
        <v>135.6</v>
      </c>
      <c r="J143" s="4">
        <v>127.5</v>
      </c>
      <c r="K143" s="4">
        <v>167.9</v>
      </c>
      <c r="L143" s="4">
        <v>113.8</v>
      </c>
      <c r="M143" s="4">
        <v>137.5</v>
      </c>
      <c r="N143" s="4">
        <v>129.1</v>
      </c>
      <c r="O143" s="4">
        <v>143.6</v>
      </c>
      <c r="P143" s="4">
        <v>134.69999999999999</v>
      </c>
      <c r="Q143" s="4">
        <v>142.4</v>
      </c>
      <c r="R143" s="4">
        <v>140.4</v>
      </c>
      <c r="S143" s="4">
        <v>135.19999999999999</v>
      </c>
      <c r="T143" s="4">
        <v>139.69999999999999</v>
      </c>
      <c r="U143" s="4">
        <v>128.5</v>
      </c>
      <c r="V143" s="4">
        <v>132</v>
      </c>
      <c r="W143" s="4">
        <v>132.9</v>
      </c>
      <c r="X143" s="4">
        <v>129.69999999999999</v>
      </c>
      <c r="Y143" s="4">
        <v>118.6</v>
      </c>
      <c r="Z143" s="4">
        <v>127.3</v>
      </c>
      <c r="AA143" s="4">
        <v>134.19999999999999</v>
      </c>
      <c r="AB143" s="4">
        <v>121.9</v>
      </c>
      <c r="AC143" s="4">
        <v>126.3</v>
      </c>
      <c r="AD143" s="4">
        <v>132.80000000000001</v>
      </c>
    </row>
    <row r="144" spans="1:30" hidden="1" x14ac:dyDescent="0.3">
      <c r="A144" t="s">
        <v>33</v>
      </c>
      <c r="B144">
        <v>2016</v>
      </c>
      <c r="C144" t="s">
        <v>46</v>
      </c>
      <c r="D144" s="4">
        <v>131.6</v>
      </c>
      <c r="E144" s="4">
        <v>138.19999999999999</v>
      </c>
      <c r="F144" s="4">
        <v>134.9</v>
      </c>
      <c r="G144" s="4">
        <v>133.1</v>
      </c>
      <c r="H144" s="4">
        <v>113.5</v>
      </c>
      <c r="I144" s="4">
        <v>129.30000000000001</v>
      </c>
      <c r="J144" s="4">
        <v>121.1</v>
      </c>
      <c r="K144" s="4">
        <v>170.3</v>
      </c>
      <c r="L144" s="4">
        <v>115.5</v>
      </c>
      <c r="M144" s="4">
        <v>145.5</v>
      </c>
      <c r="N144" s="4">
        <v>123.1</v>
      </c>
      <c r="O144" s="4">
        <v>140.9</v>
      </c>
      <c r="P144" s="4">
        <v>132.80000000000001</v>
      </c>
      <c r="Q144" s="4">
        <v>145</v>
      </c>
      <c r="R144" s="4">
        <v>130</v>
      </c>
      <c r="S144" s="4">
        <v>122.2</v>
      </c>
      <c r="T144" s="4">
        <v>128.80000000000001</v>
      </c>
      <c r="U144" s="4">
        <v>128.5</v>
      </c>
      <c r="V144" s="4">
        <v>117.8</v>
      </c>
      <c r="W144" s="4">
        <v>125</v>
      </c>
      <c r="X144" s="4">
        <v>122.3</v>
      </c>
      <c r="Y144" s="4">
        <v>113.7</v>
      </c>
      <c r="Z144" s="4">
        <v>121.8</v>
      </c>
      <c r="AA144" s="4">
        <v>132.30000000000001</v>
      </c>
      <c r="AB144" s="4">
        <v>119.9</v>
      </c>
      <c r="AC144" s="4">
        <v>121.4</v>
      </c>
      <c r="AD144" s="4">
        <v>127.6</v>
      </c>
    </row>
    <row r="145" spans="1:30" hidden="1" x14ac:dyDescent="0.3">
      <c r="A145" t="s">
        <v>34</v>
      </c>
      <c r="B145">
        <v>2016</v>
      </c>
      <c r="C145" t="s">
        <v>46</v>
      </c>
      <c r="D145" s="4">
        <v>132.30000000000001</v>
      </c>
      <c r="E145" s="4">
        <v>137.6</v>
      </c>
      <c r="F145" s="4">
        <v>132.9</v>
      </c>
      <c r="G145" s="4">
        <v>135.1</v>
      </c>
      <c r="H145" s="4">
        <v>118.6</v>
      </c>
      <c r="I145" s="4">
        <v>132.69999999999999</v>
      </c>
      <c r="J145" s="4">
        <v>125.3</v>
      </c>
      <c r="K145" s="4">
        <v>168.7</v>
      </c>
      <c r="L145" s="4">
        <v>114.4</v>
      </c>
      <c r="M145" s="4">
        <v>140.19999999999999</v>
      </c>
      <c r="N145" s="4">
        <v>126.6</v>
      </c>
      <c r="O145" s="4">
        <v>142.30000000000001</v>
      </c>
      <c r="P145" s="4">
        <v>134</v>
      </c>
      <c r="Q145" s="4">
        <v>143.1</v>
      </c>
      <c r="R145" s="4">
        <v>136.30000000000001</v>
      </c>
      <c r="S145" s="4">
        <v>129.80000000000001</v>
      </c>
      <c r="T145" s="4">
        <v>135.4</v>
      </c>
      <c r="U145" s="4">
        <v>128.5</v>
      </c>
      <c r="V145" s="4">
        <v>126.6</v>
      </c>
      <c r="W145" s="4">
        <v>129.19999999999999</v>
      </c>
      <c r="X145" s="4">
        <v>126.9</v>
      </c>
      <c r="Y145" s="4">
        <v>116</v>
      </c>
      <c r="Z145" s="4">
        <v>124.2</v>
      </c>
      <c r="AA145" s="4">
        <v>133.1</v>
      </c>
      <c r="AB145" s="4">
        <v>121.1</v>
      </c>
      <c r="AC145" s="4">
        <v>123.9</v>
      </c>
      <c r="AD145" s="4">
        <v>130.4</v>
      </c>
    </row>
    <row r="146" spans="1:30" hidden="1" x14ac:dyDescent="0.3">
      <c r="A146" t="s">
        <v>30</v>
      </c>
      <c r="B146">
        <v>2017</v>
      </c>
      <c r="C146" t="s">
        <v>31</v>
      </c>
      <c r="D146" s="4">
        <v>133.1</v>
      </c>
      <c r="E146" s="4">
        <v>137.80000000000001</v>
      </c>
      <c r="F146" s="4">
        <v>131.9</v>
      </c>
      <c r="G146" s="4">
        <v>136.69999999999999</v>
      </c>
      <c r="H146" s="4">
        <v>122</v>
      </c>
      <c r="I146" s="4">
        <v>136</v>
      </c>
      <c r="J146" s="4">
        <v>119.8</v>
      </c>
      <c r="K146" s="4">
        <v>161.69999999999999</v>
      </c>
      <c r="L146" s="4">
        <v>114.8</v>
      </c>
      <c r="M146" s="4">
        <v>136.9</v>
      </c>
      <c r="N146" s="4">
        <v>129</v>
      </c>
      <c r="O146" s="4">
        <v>143.9</v>
      </c>
      <c r="P146" s="4">
        <v>133.69999999999999</v>
      </c>
      <c r="Q146" s="4">
        <v>143.1</v>
      </c>
      <c r="R146" s="4">
        <v>140.69999999999999</v>
      </c>
      <c r="S146" s="4">
        <v>135.80000000000001</v>
      </c>
      <c r="T146" s="4">
        <v>140</v>
      </c>
      <c r="U146" s="4">
        <v>129.6</v>
      </c>
      <c r="V146" s="4">
        <v>132.1</v>
      </c>
      <c r="W146" s="4">
        <v>133.19999999999999</v>
      </c>
      <c r="X146" s="4">
        <v>129.9</v>
      </c>
      <c r="Y146" s="4">
        <v>119.1</v>
      </c>
      <c r="Z146" s="4">
        <v>127</v>
      </c>
      <c r="AA146" s="4">
        <v>134.6</v>
      </c>
      <c r="AB146" s="4">
        <v>122.3</v>
      </c>
      <c r="AC146" s="4">
        <v>126.6</v>
      </c>
      <c r="AD146" s="4">
        <v>132.4</v>
      </c>
    </row>
    <row r="147" spans="1:30" hidden="1" x14ac:dyDescent="0.3">
      <c r="A147" t="s">
        <v>33</v>
      </c>
      <c r="B147">
        <v>2017</v>
      </c>
      <c r="C147" t="s">
        <v>31</v>
      </c>
      <c r="D147" s="4">
        <v>132.19999999999999</v>
      </c>
      <c r="E147" s="4">
        <v>138.9</v>
      </c>
      <c r="F147" s="4">
        <v>132.6</v>
      </c>
      <c r="G147" s="4">
        <v>133.1</v>
      </c>
      <c r="H147" s="4">
        <v>114</v>
      </c>
      <c r="I147" s="4">
        <v>129.6</v>
      </c>
      <c r="J147" s="4">
        <v>118.7</v>
      </c>
      <c r="K147" s="4">
        <v>155.1</v>
      </c>
      <c r="L147" s="4">
        <v>117.3</v>
      </c>
      <c r="M147" s="4">
        <v>144.9</v>
      </c>
      <c r="N147" s="4">
        <v>123.2</v>
      </c>
      <c r="O147" s="4">
        <v>141.6</v>
      </c>
      <c r="P147" s="4">
        <v>132</v>
      </c>
      <c r="Q147" s="4">
        <v>145.6</v>
      </c>
      <c r="R147" s="4">
        <v>130.19999999999999</v>
      </c>
      <c r="S147" s="4">
        <v>122.3</v>
      </c>
      <c r="T147" s="4">
        <v>129</v>
      </c>
      <c r="U147" s="4">
        <v>129.6</v>
      </c>
      <c r="V147" s="4">
        <v>118</v>
      </c>
      <c r="W147" s="4">
        <v>125.1</v>
      </c>
      <c r="X147" s="4">
        <v>122.6</v>
      </c>
      <c r="Y147" s="4">
        <v>115.2</v>
      </c>
      <c r="Z147" s="4">
        <v>122</v>
      </c>
      <c r="AA147" s="4">
        <v>132.4</v>
      </c>
      <c r="AB147" s="4">
        <v>120.9</v>
      </c>
      <c r="AC147" s="4">
        <v>122.1</v>
      </c>
      <c r="AD147" s="4">
        <v>127.8</v>
      </c>
    </row>
    <row r="148" spans="1:30" hidden="1" x14ac:dyDescent="0.3">
      <c r="A148" t="s">
        <v>34</v>
      </c>
      <c r="B148">
        <v>2017</v>
      </c>
      <c r="C148" t="s">
        <v>31</v>
      </c>
      <c r="D148" s="4">
        <v>132.80000000000001</v>
      </c>
      <c r="E148" s="4">
        <v>138.19999999999999</v>
      </c>
      <c r="F148" s="4">
        <v>132.19999999999999</v>
      </c>
      <c r="G148" s="4">
        <v>135.4</v>
      </c>
      <c r="H148" s="4">
        <v>119.1</v>
      </c>
      <c r="I148" s="4">
        <v>133</v>
      </c>
      <c r="J148" s="4">
        <v>119.4</v>
      </c>
      <c r="K148" s="4">
        <v>159.5</v>
      </c>
      <c r="L148" s="4">
        <v>115.6</v>
      </c>
      <c r="M148" s="4">
        <v>139.6</v>
      </c>
      <c r="N148" s="4">
        <v>126.6</v>
      </c>
      <c r="O148" s="4">
        <v>142.80000000000001</v>
      </c>
      <c r="P148" s="4">
        <v>133.1</v>
      </c>
      <c r="Q148" s="4">
        <v>143.80000000000001</v>
      </c>
      <c r="R148" s="4">
        <v>136.6</v>
      </c>
      <c r="S148" s="4">
        <v>130.19999999999999</v>
      </c>
      <c r="T148" s="4">
        <v>135.6</v>
      </c>
      <c r="U148" s="4">
        <v>129.6</v>
      </c>
      <c r="V148" s="4">
        <v>126.8</v>
      </c>
      <c r="W148" s="4">
        <v>129.4</v>
      </c>
      <c r="X148" s="4">
        <v>127.1</v>
      </c>
      <c r="Y148" s="4">
        <v>117</v>
      </c>
      <c r="Z148" s="4">
        <v>124.2</v>
      </c>
      <c r="AA148" s="4">
        <v>133.30000000000001</v>
      </c>
      <c r="AB148" s="4">
        <v>121.7</v>
      </c>
      <c r="AC148" s="4">
        <v>124.4</v>
      </c>
      <c r="AD148" s="4">
        <v>130.30000000000001</v>
      </c>
    </row>
    <row r="149" spans="1:30" hidden="1" x14ac:dyDescent="0.3">
      <c r="A149" t="s">
        <v>30</v>
      </c>
      <c r="B149">
        <v>2017</v>
      </c>
      <c r="C149" t="s">
        <v>35</v>
      </c>
      <c r="D149" s="4">
        <v>133.30000000000001</v>
      </c>
      <c r="E149" s="4">
        <v>138.30000000000001</v>
      </c>
      <c r="F149" s="4">
        <v>129.30000000000001</v>
      </c>
      <c r="G149" s="4">
        <v>137.19999999999999</v>
      </c>
      <c r="H149" s="4">
        <v>122.1</v>
      </c>
      <c r="I149" s="4">
        <v>138.69999999999999</v>
      </c>
      <c r="J149" s="4">
        <v>119.1</v>
      </c>
      <c r="K149" s="4">
        <v>156.9</v>
      </c>
      <c r="L149" s="4">
        <v>116.2</v>
      </c>
      <c r="M149" s="4">
        <v>136</v>
      </c>
      <c r="N149" s="4">
        <v>129.4</v>
      </c>
      <c r="O149" s="4">
        <v>144.4</v>
      </c>
      <c r="P149" s="4">
        <v>133.6</v>
      </c>
      <c r="Q149" s="4">
        <v>143.69999999999999</v>
      </c>
      <c r="R149" s="4">
        <v>140.9</v>
      </c>
      <c r="S149" s="4">
        <v>135.80000000000001</v>
      </c>
      <c r="T149" s="4">
        <v>140.19999999999999</v>
      </c>
      <c r="U149" s="4">
        <v>130.5</v>
      </c>
      <c r="V149" s="4">
        <v>133.19999999999999</v>
      </c>
      <c r="W149" s="4">
        <v>133.6</v>
      </c>
      <c r="X149" s="4">
        <v>130.1</v>
      </c>
      <c r="Y149" s="4">
        <v>119.5</v>
      </c>
      <c r="Z149" s="4">
        <v>127.7</v>
      </c>
      <c r="AA149" s="4">
        <v>134.9</v>
      </c>
      <c r="AB149" s="4">
        <v>123.2</v>
      </c>
      <c r="AC149" s="4">
        <v>127</v>
      </c>
      <c r="AD149" s="4">
        <v>132.6</v>
      </c>
    </row>
    <row r="150" spans="1:30" hidden="1" x14ac:dyDescent="0.3">
      <c r="A150" t="s">
        <v>33</v>
      </c>
      <c r="B150">
        <v>2017</v>
      </c>
      <c r="C150" t="s">
        <v>35</v>
      </c>
      <c r="D150" s="4">
        <v>132.80000000000001</v>
      </c>
      <c r="E150" s="4">
        <v>139.80000000000001</v>
      </c>
      <c r="F150" s="4">
        <v>129.30000000000001</v>
      </c>
      <c r="G150" s="4">
        <v>133.5</v>
      </c>
      <c r="H150" s="4">
        <v>114.3</v>
      </c>
      <c r="I150" s="4">
        <v>131.4</v>
      </c>
      <c r="J150" s="4">
        <v>120.2</v>
      </c>
      <c r="K150" s="4">
        <v>143.1</v>
      </c>
      <c r="L150" s="4">
        <v>119.5</v>
      </c>
      <c r="M150" s="4">
        <v>144</v>
      </c>
      <c r="N150" s="4">
        <v>123.4</v>
      </c>
      <c r="O150" s="4">
        <v>141.9</v>
      </c>
      <c r="P150" s="4">
        <v>132.1</v>
      </c>
      <c r="Q150" s="4">
        <v>146.30000000000001</v>
      </c>
      <c r="R150" s="4">
        <v>130.5</v>
      </c>
      <c r="S150" s="4">
        <v>122.5</v>
      </c>
      <c r="T150" s="4">
        <v>129.30000000000001</v>
      </c>
      <c r="U150" s="4">
        <v>130.5</v>
      </c>
      <c r="V150" s="4">
        <v>119.2</v>
      </c>
      <c r="W150" s="4">
        <v>125.3</v>
      </c>
      <c r="X150" s="4">
        <v>122.9</v>
      </c>
      <c r="Y150" s="4">
        <v>115.5</v>
      </c>
      <c r="Z150" s="4">
        <v>122.2</v>
      </c>
      <c r="AA150" s="4">
        <v>132.4</v>
      </c>
      <c r="AB150" s="4">
        <v>121.7</v>
      </c>
      <c r="AC150" s="4">
        <v>122.4</v>
      </c>
      <c r="AD150" s="4">
        <v>128.19999999999999</v>
      </c>
    </row>
    <row r="151" spans="1:30" hidden="1" x14ac:dyDescent="0.3">
      <c r="A151" t="s">
        <v>34</v>
      </c>
      <c r="B151">
        <v>2017</v>
      </c>
      <c r="C151" t="s">
        <v>35</v>
      </c>
      <c r="D151" s="4">
        <v>133.1</v>
      </c>
      <c r="E151" s="4">
        <v>138.80000000000001</v>
      </c>
      <c r="F151" s="4">
        <v>129.30000000000001</v>
      </c>
      <c r="G151" s="4">
        <v>135.80000000000001</v>
      </c>
      <c r="H151" s="4">
        <v>119.2</v>
      </c>
      <c r="I151" s="4">
        <v>135.30000000000001</v>
      </c>
      <c r="J151" s="4">
        <v>119.5</v>
      </c>
      <c r="K151" s="4">
        <v>152.19999999999999</v>
      </c>
      <c r="L151" s="4">
        <v>117.3</v>
      </c>
      <c r="M151" s="4">
        <v>138.69999999999999</v>
      </c>
      <c r="N151" s="4">
        <v>126.9</v>
      </c>
      <c r="O151" s="4">
        <v>143.19999999999999</v>
      </c>
      <c r="P151" s="4">
        <v>133</v>
      </c>
      <c r="Q151" s="4">
        <v>144.4</v>
      </c>
      <c r="R151" s="4">
        <v>136.80000000000001</v>
      </c>
      <c r="S151" s="4">
        <v>130.30000000000001</v>
      </c>
      <c r="T151" s="4">
        <v>135.9</v>
      </c>
      <c r="U151" s="4">
        <v>130.5</v>
      </c>
      <c r="V151" s="4">
        <v>127.9</v>
      </c>
      <c r="W151" s="4">
        <v>129.69999999999999</v>
      </c>
      <c r="X151" s="4">
        <v>127.4</v>
      </c>
      <c r="Y151" s="4">
        <v>117.4</v>
      </c>
      <c r="Z151" s="4">
        <v>124.6</v>
      </c>
      <c r="AA151" s="4">
        <v>133.4</v>
      </c>
      <c r="AB151" s="4">
        <v>122.6</v>
      </c>
      <c r="AC151" s="4">
        <v>124.8</v>
      </c>
      <c r="AD151" s="4">
        <v>130.6</v>
      </c>
    </row>
    <row r="152" spans="1:30" hidden="1" x14ac:dyDescent="0.3">
      <c r="A152" t="s">
        <v>30</v>
      </c>
      <c r="B152">
        <v>2017</v>
      </c>
      <c r="C152" t="s">
        <v>36</v>
      </c>
      <c r="D152" s="4">
        <v>133.6</v>
      </c>
      <c r="E152" s="4">
        <v>138.80000000000001</v>
      </c>
      <c r="F152" s="4">
        <v>128.80000000000001</v>
      </c>
      <c r="G152" s="4">
        <v>137.19999999999999</v>
      </c>
      <c r="H152" s="4">
        <v>121.6</v>
      </c>
      <c r="I152" s="4">
        <v>139.69999999999999</v>
      </c>
      <c r="J152" s="4">
        <v>119.7</v>
      </c>
      <c r="K152" s="4">
        <v>148</v>
      </c>
      <c r="L152" s="4">
        <v>116.9</v>
      </c>
      <c r="M152" s="4">
        <v>135.6</v>
      </c>
      <c r="N152" s="4">
        <v>129.80000000000001</v>
      </c>
      <c r="O152" s="4">
        <v>145.4</v>
      </c>
      <c r="P152" s="4">
        <v>133.4</v>
      </c>
      <c r="Q152" s="4">
        <v>144.19999999999999</v>
      </c>
      <c r="R152" s="4">
        <v>141.6</v>
      </c>
      <c r="S152" s="4">
        <v>136.19999999999999</v>
      </c>
      <c r="T152" s="4">
        <v>140.80000000000001</v>
      </c>
      <c r="U152" s="4">
        <v>131.1</v>
      </c>
      <c r="V152" s="4">
        <v>134.19999999999999</v>
      </c>
      <c r="W152" s="4">
        <v>134.1</v>
      </c>
      <c r="X152" s="4">
        <v>130.6</v>
      </c>
      <c r="Y152" s="4">
        <v>119.8</v>
      </c>
      <c r="Z152" s="4">
        <v>128.30000000000001</v>
      </c>
      <c r="AA152" s="4">
        <v>135.19999999999999</v>
      </c>
      <c r="AB152" s="4">
        <v>123.3</v>
      </c>
      <c r="AC152" s="4">
        <v>127.4</v>
      </c>
      <c r="AD152" s="4">
        <v>132.80000000000001</v>
      </c>
    </row>
    <row r="153" spans="1:30" hidden="1" x14ac:dyDescent="0.3">
      <c r="A153" t="s">
        <v>33</v>
      </c>
      <c r="B153">
        <v>2017</v>
      </c>
      <c r="C153" t="s">
        <v>36</v>
      </c>
      <c r="D153" s="4">
        <v>132.69999999999999</v>
      </c>
      <c r="E153" s="4">
        <v>139.4</v>
      </c>
      <c r="F153" s="4">
        <v>128.4</v>
      </c>
      <c r="G153" s="4">
        <v>134.9</v>
      </c>
      <c r="H153" s="4">
        <v>114</v>
      </c>
      <c r="I153" s="4">
        <v>136.80000000000001</v>
      </c>
      <c r="J153" s="4">
        <v>122.2</v>
      </c>
      <c r="K153" s="4">
        <v>135.80000000000001</v>
      </c>
      <c r="L153" s="4">
        <v>120.3</v>
      </c>
      <c r="M153" s="4">
        <v>142.6</v>
      </c>
      <c r="N153" s="4">
        <v>123.6</v>
      </c>
      <c r="O153" s="4">
        <v>142.4</v>
      </c>
      <c r="P153" s="4">
        <v>132.6</v>
      </c>
      <c r="Q153" s="4">
        <v>147.5</v>
      </c>
      <c r="R153" s="4">
        <v>130.80000000000001</v>
      </c>
      <c r="S153" s="4">
        <v>122.8</v>
      </c>
      <c r="T153" s="4">
        <v>129.6</v>
      </c>
      <c r="U153" s="4">
        <v>131.1</v>
      </c>
      <c r="V153" s="4">
        <v>120.8</v>
      </c>
      <c r="W153" s="4">
        <v>125.6</v>
      </c>
      <c r="X153" s="4">
        <v>123.1</v>
      </c>
      <c r="Y153" s="4">
        <v>115.6</v>
      </c>
      <c r="Z153" s="4">
        <v>122.4</v>
      </c>
      <c r="AA153" s="4">
        <v>132.80000000000001</v>
      </c>
      <c r="AB153" s="4">
        <v>121.7</v>
      </c>
      <c r="AC153" s="4">
        <v>122.6</v>
      </c>
      <c r="AD153" s="4">
        <v>128.69999999999999</v>
      </c>
    </row>
    <row r="154" spans="1:30" hidden="1" x14ac:dyDescent="0.3">
      <c r="A154" t="s">
        <v>34</v>
      </c>
      <c r="B154">
        <v>2017</v>
      </c>
      <c r="C154" t="s">
        <v>36</v>
      </c>
      <c r="D154" s="4">
        <v>133.30000000000001</v>
      </c>
      <c r="E154" s="4">
        <v>139</v>
      </c>
      <c r="F154" s="4">
        <v>128.6</v>
      </c>
      <c r="G154" s="4">
        <v>136.30000000000001</v>
      </c>
      <c r="H154" s="4">
        <v>118.8</v>
      </c>
      <c r="I154" s="4">
        <v>138.30000000000001</v>
      </c>
      <c r="J154" s="4">
        <v>120.5</v>
      </c>
      <c r="K154" s="4">
        <v>143.9</v>
      </c>
      <c r="L154" s="4">
        <v>118</v>
      </c>
      <c r="M154" s="4">
        <v>137.9</v>
      </c>
      <c r="N154" s="4">
        <v>127.2</v>
      </c>
      <c r="O154" s="4">
        <v>144</v>
      </c>
      <c r="P154" s="4">
        <v>133.1</v>
      </c>
      <c r="Q154" s="4">
        <v>145.1</v>
      </c>
      <c r="R154" s="4">
        <v>137.30000000000001</v>
      </c>
      <c r="S154" s="4">
        <v>130.6</v>
      </c>
      <c r="T154" s="4">
        <v>136.4</v>
      </c>
      <c r="U154" s="4">
        <v>131.1</v>
      </c>
      <c r="V154" s="4">
        <v>129.1</v>
      </c>
      <c r="W154" s="4">
        <v>130.1</v>
      </c>
      <c r="X154" s="4">
        <v>127.8</v>
      </c>
      <c r="Y154" s="4">
        <v>117.6</v>
      </c>
      <c r="Z154" s="4">
        <v>125</v>
      </c>
      <c r="AA154" s="4">
        <v>133.80000000000001</v>
      </c>
      <c r="AB154" s="4">
        <v>122.6</v>
      </c>
      <c r="AC154" s="4">
        <v>125.1</v>
      </c>
      <c r="AD154" s="4">
        <v>130.9</v>
      </c>
    </row>
    <row r="155" spans="1:30" hidden="1" x14ac:dyDescent="0.3">
      <c r="A155" t="s">
        <v>30</v>
      </c>
      <c r="B155">
        <v>2017</v>
      </c>
      <c r="C155" t="s">
        <v>37</v>
      </c>
      <c r="D155" s="4">
        <v>133.19999999999999</v>
      </c>
      <c r="E155" s="4">
        <v>138.69999999999999</v>
      </c>
      <c r="F155" s="4">
        <v>127.1</v>
      </c>
      <c r="G155" s="4">
        <v>137.69999999999999</v>
      </c>
      <c r="H155" s="4">
        <v>121.3</v>
      </c>
      <c r="I155" s="4">
        <v>141.80000000000001</v>
      </c>
      <c r="J155" s="4">
        <v>121.5</v>
      </c>
      <c r="K155" s="4">
        <v>144.5</v>
      </c>
      <c r="L155" s="4">
        <v>117.4</v>
      </c>
      <c r="M155" s="4">
        <v>134.1</v>
      </c>
      <c r="N155" s="4">
        <v>130</v>
      </c>
      <c r="O155" s="4">
        <v>145.5</v>
      </c>
      <c r="P155" s="4">
        <v>133.5</v>
      </c>
      <c r="Q155" s="4">
        <v>144.4</v>
      </c>
      <c r="R155" s="4">
        <v>142.4</v>
      </c>
      <c r="S155" s="4">
        <v>136.80000000000001</v>
      </c>
      <c r="T155" s="4">
        <v>141.6</v>
      </c>
      <c r="U155" s="4">
        <v>131.69999999999999</v>
      </c>
      <c r="V155" s="4">
        <v>135</v>
      </c>
      <c r="W155" s="4">
        <v>134.30000000000001</v>
      </c>
      <c r="X155" s="4">
        <v>131</v>
      </c>
      <c r="Y155" s="4">
        <v>119.2</v>
      </c>
      <c r="Z155" s="4">
        <v>128.30000000000001</v>
      </c>
      <c r="AA155" s="4">
        <v>135.69999999999999</v>
      </c>
      <c r="AB155" s="4">
        <v>123.7</v>
      </c>
      <c r="AC155" s="4">
        <v>127.5</v>
      </c>
      <c r="AD155" s="4">
        <v>132.9</v>
      </c>
    </row>
    <row r="156" spans="1:30" hidden="1" x14ac:dyDescent="0.3">
      <c r="A156" t="s">
        <v>33</v>
      </c>
      <c r="B156">
        <v>2017</v>
      </c>
      <c r="C156" t="s">
        <v>37</v>
      </c>
      <c r="D156" s="4">
        <v>132.69999999999999</v>
      </c>
      <c r="E156" s="4">
        <v>140.6</v>
      </c>
      <c r="F156" s="4">
        <v>124.5</v>
      </c>
      <c r="G156" s="4">
        <v>136.30000000000001</v>
      </c>
      <c r="H156" s="4">
        <v>113.5</v>
      </c>
      <c r="I156" s="4">
        <v>137.69999999999999</v>
      </c>
      <c r="J156" s="4">
        <v>127.1</v>
      </c>
      <c r="K156" s="4">
        <v>133.80000000000001</v>
      </c>
      <c r="L156" s="4">
        <v>120.8</v>
      </c>
      <c r="M156" s="4">
        <v>141.30000000000001</v>
      </c>
      <c r="N156" s="4">
        <v>123.8</v>
      </c>
      <c r="O156" s="4">
        <v>142.6</v>
      </c>
      <c r="P156" s="4">
        <v>133.4</v>
      </c>
      <c r="Q156" s="4">
        <v>148</v>
      </c>
      <c r="R156" s="4">
        <v>131.19999999999999</v>
      </c>
      <c r="S156" s="4">
        <v>123</v>
      </c>
      <c r="T156" s="4">
        <v>130</v>
      </c>
      <c r="U156" s="4">
        <v>131.69999999999999</v>
      </c>
      <c r="V156" s="4">
        <v>121.4</v>
      </c>
      <c r="W156" s="4">
        <v>126</v>
      </c>
      <c r="X156" s="4">
        <v>123.4</v>
      </c>
      <c r="Y156" s="4">
        <v>114.3</v>
      </c>
      <c r="Z156" s="4">
        <v>122.6</v>
      </c>
      <c r="AA156" s="4">
        <v>133.6</v>
      </c>
      <c r="AB156" s="4">
        <v>122.2</v>
      </c>
      <c r="AC156" s="4">
        <v>122.5</v>
      </c>
      <c r="AD156" s="4">
        <v>129.1</v>
      </c>
    </row>
    <row r="157" spans="1:30" hidden="1" x14ac:dyDescent="0.3">
      <c r="A157" t="s">
        <v>34</v>
      </c>
      <c r="B157">
        <v>2017</v>
      </c>
      <c r="C157" t="s">
        <v>37</v>
      </c>
      <c r="D157" s="4">
        <v>133</v>
      </c>
      <c r="E157" s="4">
        <v>139.4</v>
      </c>
      <c r="F157" s="4">
        <v>126.1</v>
      </c>
      <c r="G157" s="4">
        <v>137.19999999999999</v>
      </c>
      <c r="H157" s="4">
        <v>118.4</v>
      </c>
      <c r="I157" s="4">
        <v>139.9</v>
      </c>
      <c r="J157" s="4">
        <v>123.4</v>
      </c>
      <c r="K157" s="4">
        <v>140.9</v>
      </c>
      <c r="L157" s="4">
        <v>118.5</v>
      </c>
      <c r="M157" s="4">
        <v>136.5</v>
      </c>
      <c r="N157" s="4">
        <v>127.4</v>
      </c>
      <c r="O157" s="4">
        <v>144.19999999999999</v>
      </c>
      <c r="P157" s="4">
        <v>133.5</v>
      </c>
      <c r="Q157" s="4">
        <v>145.4</v>
      </c>
      <c r="R157" s="4">
        <v>138</v>
      </c>
      <c r="S157" s="4">
        <v>131.1</v>
      </c>
      <c r="T157" s="4">
        <v>137</v>
      </c>
      <c r="U157" s="4">
        <v>131.69999999999999</v>
      </c>
      <c r="V157" s="4">
        <v>129.80000000000001</v>
      </c>
      <c r="W157" s="4">
        <v>130.4</v>
      </c>
      <c r="X157" s="4">
        <v>128.1</v>
      </c>
      <c r="Y157" s="4">
        <v>116.6</v>
      </c>
      <c r="Z157" s="4">
        <v>125.1</v>
      </c>
      <c r="AA157" s="4">
        <v>134.5</v>
      </c>
      <c r="AB157" s="4">
        <v>123.1</v>
      </c>
      <c r="AC157" s="4">
        <v>125.1</v>
      </c>
      <c r="AD157" s="4">
        <v>131.1</v>
      </c>
    </row>
    <row r="158" spans="1:30" hidden="1" x14ac:dyDescent="0.3">
      <c r="A158" t="s">
        <v>30</v>
      </c>
      <c r="B158">
        <v>2017</v>
      </c>
      <c r="C158" t="s">
        <v>38</v>
      </c>
      <c r="D158" s="4">
        <v>133.1</v>
      </c>
      <c r="E158" s="4">
        <v>140.30000000000001</v>
      </c>
      <c r="F158" s="4">
        <v>126.8</v>
      </c>
      <c r="G158" s="4">
        <v>138.19999999999999</v>
      </c>
      <c r="H158" s="4">
        <v>120.8</v>
      </c>
      <c r="I158" s="4">
        <v>140.19999999999999</v>
      </c>
      <c r="J158" s="4">
        <v>123.8</v>
      </c>
      <c r="K158" s="4">
        <v>141.80000000000001</v>
      </c>
      <c r="L158" s="4">
        <v>118.6</v>
      </c>
      <c r="M158" s="4">
        <v>134</v>
      </c>
      <c r="N158" s="4">
        <v>130.30000000000001</v>
      </c>
      <c r="O158" s="4">
        <v>145.80000000000001</v>
      </c>
      <c r="P158" s="4">
        <v>133.80000000000001</v>
      </c>
      <c r="Q158" s="4">
        <v>145.5</v>
      </c>
      <c r="R158" s="4">
        <v>142.5</v>
      </c>
      <c r="S158" s="4">
        <v>137.30000000000001</v>
      </c>
      <c r="T158" s="4">
        <v>141.80000000000001</v>
      </c>
      <c r="U158" s="4">
        <v>132.1</v>
      </c>
      <c r="V158" s="4">
        <v>135</v>
      </c>
      <c r="W158" s="4">
        <v>134.9</v>
      </c>
      <c r="X158" s="4">
        <v>131.4</v>
      </c>
      <c r="Y158" s="4">
        <v>119.4</v>
      </c>
      <c r="Z158" s="4">
        <v>129.4</v>
      </c>
      <c r="AA158" s="4">
        <v>136.30000000000001</v>
      </c>
      <c r="AB158" s="4">
        <v>123.7</v>
      </c>
      <c r="AC158" s="4">
        <v>127.9</v>
      </c>
      <c r="AD158" s="4">
        <v>133.30000000000001</v>
      </c>
    </row>
    <row r="159" spans="1:30" hidden="1" x14ac:dyDescent="0.3">
      <c r="A159" t="s">
        <v>33</v>
      </c>
      <c r="B159">
        <v>2017</v>
      </c>
      <c r="C159" t="s">
        <v>38</v>
      </c>
      <c r="D159" s="4">
        <v>132.6</v>
      </c>
      <c r="E159" s="4">
        <v>144.1</v>
      </c>
      <c r="F159" s="4">
        <v>125.6</v>
      </c>
      <c r="G159" s="4">
        <v>136.80000000000001</v>
      </c>
      <c r="H159" s="4">
        <v>113.4</v>
      </c>
      <c r="I159" s="4">
        <v>135.19999999999999</v>
      </c>
      <c r="J159" s="4">
        <v>129.19999999999999</v>
      </c>
      <c r="K159" s="4">
        <v>131.5</v>
      </c>
      <c r="L159" s="4">
        <v>121</v>
      </c>
      <c r="M159" s="4">
        <v>139.9</v>
      </c>
      <c r="N159" s="4">
        <v>123.8</v>
      </c>
      <c r="O159" s="4">
        <v>142.9</v>
      </c>
      <c r="P159" s="4">
        <v>133.6</v>
      </c>
      <c r="Q159" s="4">
        <v>148.30000000000001</v>
      </c>
      <c r="R159" s="4">
        <v>131.5</v>
      </c>
      <c r="S159" s="4">
        <v>123.2</v>
      </c>
      <c r="T159" s="4">
        <v>130.19999999999999</v>
      </c>
      <c r="U159" s="4">
        <v>132.1</v>
      </c>
      <c r="V159" s="4">
        <v>120.1</v>
      </c>
      <c r="W159" s="4">
        <v>126.5</v>
      </c>
      <c r="X159" s="4">
        <v>123.6</v>
      </c>
      <c r="Y159" s="4">
        <v>114.3</v>
      </c>
      <c r="Z159" s="4">
        <v>122.8</v>
      </c>
      <c r="AA159" s="4">
        <v>133.80000000000001</v>
      </c>
      <c r="AB159" s="4">
        <v>122</v>
      </c>
      <c r="AC159" s="4">
        <v>122.6</v>
      </c>
      <c r="AD159" s="4">
        <v>129.30000000000001</v>
      </c>
    </row>
    <row r="160" spans="1:30" hidden="1" x14ac:dyDescent="0.3">
      <c r="A160" t="s">
        <v>34</v>
      </c>
      <c r="B160">
        <v>2017</v>
      </c>
      <c r="C160" t="s">
        <v>38</v>
      </c>
      <c r="D160" s="4">
        <v>132.9</v>
      </c>
      <c r="E160" s="4">
        <v>141.6</v>
      </c>
      <c r="F160" s="4">
        <v>126.3</v>
      </c>
      <c r="G160" s="4">
        <v>137.69999999999999</v>
      </c>
      <c r="H160" s="4">
        <v>118.1</v>
      </c>
      <c r="I160" s="4">
        <v>137.9</v>
      </c>
      <c r="J160" s="4">
        <v>125.6</v>
      </c>
      <c r="K160" s="4">
        <v>138.30000000000001</v>
      </c>
      <c r="L160" s="4">
        <v>119.4</v>
      </c>
      <c r="M160" s="4">
        <v>136</v>
      </c>
      <c r="N160" s="4">
        <v>127.6</v>
      </c>
      <c r="O160" s="4">
        <v>144.5</v>
      </c>
      <c r="P160" s="4">
        <v>133.69999999999999</v>
      </c>
      <c r="Q160" s="4">
        <v>146.19999999999999</v>
      </c>
      <c r="R160" s="4">
        <v>138.19999999999999</v>
      </c>
      <c r="S160" s="4">
        <v>131.4</v>
      </c>
      <c r="T160" s="4">
        <v>137.19999999999999</v>
      </c>
      <c r="U160" s="4">
        <v>132.1</v>
      </c>
      <c r="V160" s="4">
        <v>129.4</v>
      </c>
      <c r="W160" s="4">
        <v>130.9</v>
      </c>
      <c r="X160" s="4">
        <v>128.4</v>
      </c>
      <c r="Y160" s="4">
        <v>116.7</v>
      </c>
      <c r="Z160" s="4">
        <v>125.7</v>
      </c>
      <c r="AA160" s="4">
        <v>134.80000000000001</v>
      </c>
      <c r="AB160" s="4">
        <v>123</v>
      </c>
      <c r="AC160" s="4">
        <v>125.3</v>
      </c>
      <c r="AD160" s="4">
        <v>131.4</v>
      </c>
    </row>
    <row r="161" spans="1:30" hidden="1" x14ac:dyDescent="0.3">
      <c r="A161" t="s">
        <v>30</v>
      </c>
      <c r="B161">
        <v>2017</v>
      </c>
      <c r="C161" t="s">
        <v>39</v>
      </c>
      <c r="D161" s="4">
        <v>133.5</v>
      </c>
      <c r="E161" s="4">
        <v>143.69999999999999</v>
      </c>
      <c r="F161" s="4">
        <v>128</v>
      </c>
      <c r="G161" s="4">
        <v>138.6</v>
      </c>
      <c r="H161" s="4">
        <v>120.9</v>
      </c>
      <c r="I161" s="4">
        <v>140.9</v>
      </c>
      <c r="J161" s="4">
        <v>128.80000000000001</v>
      </c>
      <c r="K161" s="4">
        <v>140.19999999999999</v>
      </c>
      <c r="L161" s="4">
        <v>118.9</v>
      </c>
      <c r="M161" s="4">
        <v>133.5</v>
      </c>
      <c r="N161" s="4">
        <v>130.4</v>
      </c>
      <c r="O161" s="4">
        <v>146.5</v>
      </c>
      <c r="P161" s="4">
        <v>134.9</v>
      </c>
      <c r="Q161" s="4">
        <v>145.80000000000001</v>
      </c>
      <c r="R161" s="4">
        <v>143.1</v>
      </c>
      <c r="S161" s="4">
        <v>137.69999999999999</v>
      </c>
      <c r="T161" s="4">
        <v>142.30000000000001</v>
      </c>
      <c r="U161" s="4">
        <v>131.4</v>
      </c>
      <c r="V161" s="4">
        <v>134.80000000000001</v>
      </c>
      <c r="W161" s="4">
        <v>135.19999999999999</v>
      </c>
      <c r="X161" s="4">
        <v>131.30000000000001</v>
      </c>
      <c r="Y161" s="4">
        <v>119.4</v>
      </c>
      <c r="Z161" s="4">
        <v>129.80000000000001</v>
      </c>
      <c r="AA161" s="4">
        <v>136.9</v>
      </c>
      <c r="AB161" s="4">
        <v>124.1</v>
      </c>
      <c r="AC161" s="4">
        <v>128.1</v>
      </c>
      <c r="AD161" s="4">
        <v>133.9</v>
      </c>
    </row>
    <row r="162" spans="1:30" hidden="1" x14ac:dyDescent="0.3">
      <c r="A162" t="s">
        <v>33</v>
      </c>
      <c r="B162">
        <v>2017</v>
      </c>
      <c r="C162" t="s">
        <v>39</v>
      </c>
      <c r="D162" s="4">
        <v>132.9</v>
      </c>
      <c r="E162" s="4">
        <v>148.69999999999999</v>
      </c>
      <c r="F162" s="4">
        <v>128.30000000000001</v>
      </c>
      <c r="G162" s="4">
        <v>137.30000000000001</v>
      </c>
      <c r="H162" s="4">
        <v>113.5</v>
      </c>
      <c r="I162" s="4">
        <v>137.19999999999999</v>
      </c>
      <c r="J162" s="4">
        <v>142.19999999999999</v>
      </c>
      <c r="K162" s="4">
        <v>128.19999999999999</v>
      </c>
      <c r="L162" s="4">
        <v>120.9</v>
      </c>
      <c r="M162" s="4">
        <v>138.80000000000001</v>
      </c>
      <c r="N162" s="4">
        <v>124.2</v>
      </c>
      <c r="O162" s="4">
        <v>143.1</v>
      </c>
      <c r="P162" s="4">
        <v>135.69999999999999</v>
      </c>
      <c r="Q162" s="4">
        <v>148.6</v>
      </c>
      <c r="R162" s="4">
        <v>131.5</v>
      </c>
      <c r="S162" s="4">
        <v>123.2</v>
      </c>
      <c r="T162" s="4">
        <v>130.19999999999999</v>
      </c>
      <c r="U162" s="4">
        <v>131.4</v>
      </c>
      <c r="V162" s="4">
        <v>119</v>
      </c>
      <c r="W162" s="4">
        <v>126.8</v>
      </c>
      <c r="X162" s="4">
        <v>123.8</v>
      </c>
      <c r="Y162" s="4">
        <v>113.9</v>
      </c>
      <c r="Z162" s="4">
        <v>122.9</v>
      </c>
      <c r="AA162" s="4">
        <v>134.30000000000001</v>
      </c>
      <c r="AB162" s="4">
        <v>122.5</v>
      </c>
      <c r="AC162" s="4">
        <v>122.7</v>
      </c>
      <c r="AD162" s="4">
        <v>129.9</v>
      </c>
    </row>
    <row r="163" spans="1:30" hidden="1" x14ac:dyDescent="0.3">
      <c r="A163" t="s">
        <v>34</v>
      </c>
      <c r="B163">
        <v>2017</v>
      </c>
      <c r="C163" t="s">
        <v>39</v>
      </c>
      <c r="D163" s="4">
        <v>133.30000000000001</v>
      </c>
      <c r="E163" s="4">
        <v>145.5</v>
      </c>
      <c r="F163" s="4">
        <v>128.1</v>
      </c>
      <c r="G163" s="4">
        <v>138.1</v>
      </c>
      <c r="H163" s="4">
        <v>118.2</v>
      </c>
      <c r="I163" s="4">
        <v>139.19999999999999</v>
      </c>
      <c r="J163" s="4">
        <v>133.30000000000001</v>
      </c>
      <c r="K163" s="4">
        <v>136.19999999999999</v>
      </c>
      <c r="L163" s="4">
        <v>119.6</v>
      </c>
      <c r="M163" s="4">
        <v>135.30000000000001</v>
      </c>
      <c r="N163" s="4">
        <v>127.8</v>
      </c>
      <c r="O163" s="4">
        <v>144.9</v>
      </c>
      <c r="P163" s="4">
        <v>135.19999999999999</v>
      </c>
      <c r="Q163" s="4">
        <v>146.5</v>
      </c>
      <c r="R163" s="4">
        <v>138.5</v>
      </c>
      <c r="S163" s="4">
        <v>131.69999999999999</v>
      </c>
      <c r="T163" s="4">
        <v>137.5</v>
      </c>
      <c r="U163" s="4">
        <v>131.4</v>
      </c>
      <c r="V163" s="4">
        <v>128.80000000000001</v>
      </c>
      <c r="W163" s="4">
        <v>131.19999999999999</v>
      </c>
      <c r="X163" s="4">
        <v>128.5</v>
      </c>
      <c r="Y163" s="4">
        <v>116.5</v>
      </c>
      <c r="Z163" s="4">
        <v>125.9</v>
      </c>
      <c r="AA163" s="4">
        <v>135.4</v>
      </c>
      <c r="AB163" s="4">
        <v>123.4</v>
      </c>
      <c r="AC163" s="4">
        <v>125.5</v>
      </c>
      <c r="AD163" s="4">
        <v>132</v>
      </c>
    </row>
    <row r="164" spans="1:30" hidden="1" x14ac:dyDescent="0.3">
      <c r="A164" t="s">
        <v>30</v>
      </c>
      <c r="B164">
        <v>2017</v>
      </c>
      <c r="C164" t="s">
        <v>40</v>
      </c>
      <c r="D164" s="4">
        <v>134</v>
      </c>
      <c r="E164" s="4">
        <v>144.19999999999999</v>
      </c>
      <c r="F164" s="4">
        <v>129.80000000000001</v>
      </c>
      <c r="G164" s="4">
        <v>139</v>
      </c>
      <c r="H164" s="4">
        <v>120.9</v>
      </c>
      <c r="I164" s="4">
        <v>143.9</v>
      </c>
      <c r="J164" s="4">
        <v>151.5</v>
      </c>
      <c r="K164" s="4">
        <v>138.1</v>
      </c>
      <c r="L164" s="4">
        <v>120</v>
      </c>
      <c r="M164" s="4">
        <v>133.9</v>
      </c>
      <c r="N164" s="4">
        <v>131.4</v>
      </c>
      <c r="O164" s="4">
        <v>147.69999999999999</v>
      </c>
      <c r="P164" s="4">
        <v>138.5</v>
      </c>
      <c r="Q164" s="4">
        <v>147.4</v>
      </c>
      <c r="R164" s="4">
        <v>144.30000000000001</v>
      </c>
      <c r="S164" s="4">
        <v>138.1</v>
      </c>
      <c r="T164" s="4">
        <v>143.5</v>
      </c>
      <c r="U164" s="4">
        <v>132.6</v>
      </c>
      <c r="V164" s="4">
        <v>135.30000000000001</v>
      </c>
      <c r="W164" s="4">
        <v>136.1</v>
      </c>
      <c r="X164" s="4">
        <v>132.1</v>
      </c>
      <c r="Y164" s="4">
        <v>119.1</v>
      </c>
      <c r="Z164" s="4">
        <v>130.6</v>
      </c>
      <c r="AA164" s="4">
        <v>138.6</v>
      </c>
      <c r="AB164" s="4">
        <v>124.4</v>
      </c>
      <c r="AC164" s="4">
        <v>128.6</v>
      </c>
      <c r="AD164" s="4">
        <v>136.19999999999999</v>
      </c>
    </row>
    <row r="165" spans="1:30" hidden="1" x14ac:dyDescent="0.3">
      <c r="A165" t="s">
        <v>33</v>
      </c>
      <c r="B165">
        <v>2017</v>
      </c>
      <c r="C165" t="s">
        <v>40</v>
      </c>
      <c r="D165" s="4">
        <v>132.80000000000001</v>
      </c>
      <c r="E165" s="4">
        <v>148.4</v>
      </c>
      <c r="F165" s="4">
        <v>129.4</v>
      </c>
      <c r="G165" s="4">
        <v>137.69999999999999</v>
      </c>
      <c r="H165" s="4">
        <v>113.4</v>
      </c>
      <c r="I165" s="4">
        <v>139.4</v>
      </c>
      <c r="J165" s="4">
        <v>175.1</v>
      </c>
      <c r="K165" s="4">
        <v>124.7</v>
      </c>
      <c r="L165" s="4">
        <v>121.5</v>
      </c>
      <c r="M165" s="4">
        <v>137.80000000000001</v>
      </c>
      <c r="N165" s="4">
        <v>124.4</v>
      </c>
      <c r="O165" s="4">
        <v>143.69999999999999</v>
      </c>
      <c r="P165" s="4">
        <v>139.80000000000001</v>
      </c>
      <c r="Q165" s="4">
        <v>150.5</v>
      </c>
      <c r="R165" s="4">
        <v>131.6</v>
      </c>
      <c r="S165" s="4">
        <v>123.7</v>
      </c>
      <c r="T165" s="4">
        <v>130.4</v>
      </c>
      <c r="U165" s="4">
        <v>132.6</v>
      </c>
      <c r="V165" s="4">
        <v>119.7</v>
      </c>
      <c r="W165" s="4">
        <v>127.2</v>
      </c>
      <c r="X165" s="4">
        <v>125</v>
      </c>
      <c r="Y165" s="4">
        <v>113.2</v>
      </c>
      <c r="Z165" s="4">
        <v>123.5</v>
      </c>
      <c r="AA165" s="4">
        <v>135.5</v>
      </c>
      <c r="AB165" s="4">
        <v>122.4</v>
      </c>
      <c r="AC165" s="4">
        <v>123</v>
      </c>
      <c r="AD165" s="4">
        <v>131.80000000000001</v>
      </c>
    </row>
    <row r="166" spans="1:30" hidden="1" x14ac:dyDescent="0.3">
      <c r="A166" t="s">
        <v>34</v>
      </c>
      <c r="B166">
        <v>2017</v>
      </c>
      <c r="C166" t="s">
        <v>40</v>
      </c>
      <c r="D166" s="4">
        <v>133.6</v>
      </c>
      <c r="E166" s="4">
        <v>145.69999999999999</v>
      </c>
      <c r="F166" s="4">
        <v>129.6</v>
      </c>
      <c r="G166" s="4">
        <v>138.5</v>
      </c>
      <c r="H166" s="4">
        <v>118.1</v>
      </c>
      <c r="I166" s="4">
        <v>141.80000000000001</v>
      </c>
      <c r="J166" s="4">
        <v>159.5</v>
      </c>
      <c r="K166" s="4">
        <v>133.6</v>
      </c>
      <c r="L166" s="4">
        <v>120.5</v>
      </c>
      <c r="M166" s="4">
        <v>135.19999999999999</v>
      </c>
      <c r="N166" s="4">
        <v>128.5</v>
      </c>
      <c r="O166" s="4">
        <v>145.80000000000001</v>
      </c>
      <c r="P166" s="4">
        <v>139</v>
      </c>
      <c r="Q166" s="4">
        <v>148.19999999999999</v>
      </c>
      <c r="R166" s="4">
        <v>139.30000000000001</v>
      </c>
      <c r="S166" s="4">
        <v>132.1</v>
      </c>
      <c r="T166" s="4">
        <v>138.30000000000001</v>
      </c>
      <c r="U166" s="4">
        <v>132.6</v>
      </c>
      <c r="V166" s="4">
        <v>129.4</v>
      </c>
      <c r="W166" s="4">
        <v>131.9</v>
      </c>
      <c r="X166" s="4">
        <v>129.4</v>
      </c>
      <c r="Y166" s="4">
        <v>116</v>
      </c>
      <c r="Z166" s="4">
        <v>126.6</v>
      </c>
      <c r="AA166" s="4">
        <v>136.80000000000001</v>
      </c>
      <c r="AB166" s="4">
        <v>123.6</v>
      </c>
      <c r="AC166" s="4">
        <v>125.9</v>
      </c>
      <c r="AD166" s="4">
        <v>134.19999999999999</v>
      </c>
    </row>
    <row r="167" spans="1:30" hidden="1" x14ac:dyDescent="0.3">
      <c r="A167" t="s">
        <v>30</v>
      </c>
      <c r="B167">
        <v>2017</v>
      </c>
      <c r="C167" t="s">
        <v>41</v>
      </c>
      <c r="D167" s="4">
        <v>134.80000000000001</v>
      </c>
      <c r="E167" s="4">
        <v>143.1</v>
      </c>
      <c r="F167" s="4">
        <v>130</v>
      </c>
      <c r="G167" s="4">
        <v>139.4</v>
      </c>
      <c r="H167" s="4">
        <v>120.5</v>
      </c>
      <c r="I167" s="4">
        <v>148</v>
      </c>
      <c r="J167" s="4">
        <v>162.9</v>
      </c>
      <c r="K167" s="4">
        <v>137.4</v>
      </c>
      <c r="L167" s="4">
        <v>120.8</v>
      </c>
      <c r="M167" s="4">
        <v>134.69999999999999</v>
      </c>
      <c r="N167" s="4">
        <v>131.6</v>
      </c>
      <c r="O167" s="4">
        <v>148.69999999999999</v>
      </c>
      <c r="P167" s="4">
        <v>140.6</v>
      </c>
      <c r="Q167" s="4">
        <v>149</v>
      </c>
      <c r="R167" s="4">
        <v>145.30000000000001</v>
      </c>
      <c r="S167" s="4">
        <v>139.19999999999999</v>
      </c>
      <c r="T167" s="4">
        <v>144.5</v>
      </c>
      <c r="U167" s="4">
        <v>134.4</v>
      </c>
      <c r="V167" s="4">
        <v>136.4</v>
      </c>
      <c r="W167" s="4">
        <v>137.30000000000001</v>
      </c>
      <c r="X167" s="4">
        <v>133</v>
      </c>
      <c r="Y167" s="4">
        <v>120.3</v>
      </c>
      <c r="Z167" s="4">
        <v>131.5</v>
      </c>
      <c r="AA167" s="4">
        <v>140.19999999999999</v>
      </c>
      <c r="AB167" s="4">
        <v>125.4</v>
      </c>
      <c r="AC167" s="4">
        <v>129.69999999999999</v>
      </c>
      <c r="AD167" s="4">
        <v>137.80000000000001</v>
      </c>
    </row>
    <row r="168" spans="1:30" hidden="1" x14ac:dyDescent="0.3">
      <c r="A168" t="s">
        <v>33</v>
      </c>
      <c r="B168">
        <v>2017</v>
      </c>
      <c r="C168" t="s">
        <v>41</v>
      </c>
      <c r="D168" s="4">
        <v>133.19999999999999</v>
      </c>
      <c r="E168" s="4">
        <v>143.9</v>
      </c>
      <c r="F168" s="4">
        <v>128.30000000000001</v>
      </c>
      <c r="G168" s="4">
        <v>138.30000000000001</v>
      </c>
      <c r="H168" s="4">
        <v>114.1</v>
      </c>
      <c r="I168" s="4">
        <v>142.69999999999999</v>
      </c>
      <c r="J168" s="4">
        <v>179.8</v>
      </c>
      <c r="K168" s="4">
        <v>123.5</v>
      </c>
      <c r="L168" s="4">
        <v>122.1</v>
      </c>
      <c r="M168" s="4">
        <v>137.5</v>
      </c>
      <c r="N168" s="4">
        <v>124.6</v>
      </c>
      <c r="O168" s="4">
        <v>144.5</v>
      </c>
      <c r="P168" s="4">
        <v>140.5</v>
      </c>
      <c r="Q168" s="4">
        <v>152.1</v>
      </c>
      <c r="R168" s="4">
        <v>132.69999999999999</v>
      </c>
      <c r="S168" s="4">
        <v>124.3</v>
      </c>
      <c r="T168" s="4">
        <v>131.4</v>
      </c>
      <c r="U168" s="4">
        <v>134.4</v>
      </c>
      <c r="V168" s="4">
        <v>118.9</v>
      </c>
      <c r="W168" s="4">
        <v>127.7</v>
      </c>
      <c r="X168" s="4">
        <v>125.7</v>
      </c>
      <c r="Y168" s="4">
        <v>114.6</v>
      </c>
      <c r="Z168" s="4">
        <v>124.1</v>
      </c>
      <c r="AA168" s="4">
        <v>135.69999999999999</v>
      </c>
      <c r="AB168" s="4">
        <v>123.3</v>
      </c>
      <c r="AC168" s="4">
        <v>123.8</v>
      </c>
      <c r="AD168" s="4">
        <v>132.69999999999999</v>
      </c>
    </row>
    <row r="169" spans="1:30" hidden="1" x14ac:dyDescent="0.3">
      <c r="A169" t="s">
        <v>34</v>
      </c>
      <c r="B169">
        <v>2017</v>
      </c>
      <c r="C169" t="s">
        <v>41</v>
      </c>
      <c r="D169" s="4">
        <v>134.30000000000001</v>
      </c>
      <c r="E169" s="4">
        <v>143.4</v>
      </c>
      <c r="F169" s="4">
        <v>129.30000000000001</v>
      </c>
      <c r="G169" s="4">
        <v>139</v>
      </c>
      <c r="H169" s="4">
        <v>118.1</v>
      </c>
      <c r="I169" s="4">
        <v>145.5</v>
      </c>
      <c r="J169" s="4">
        <v>168.6</v>
      </c>
      <c r="K169" s="4">
        <v>132.69999999999999</v>
      </c>
      <c r="L169" s="4">
        <v>121.2</v>
      </c>
      <c r="M169" s="4">
        <v>135.6</v>
      </c>
      <c r="N169" s="4">
        <v>128.69999999999999</v>
      </c>
      <c r="O169" s="4">
        <v>146.80000000000001</v>
      </c>
      <c r="P169" s="4">
        <v>140.6</v>
      </c>
      <c r="Q169" s="4">
        <v>149.80000000000001</v>
      </c>
      <c r="R169" s="4">
        <v>140.30000000000001</v>
      </c>
      <c r="S169" s="4">
        <v>133</v>
      </c>
      <c r="T169" s="4">
        <v>139.30000000000001</v>
      </c>
      <c r="U169" s="4">
        <v>134.4</v>
      </c>
      <c r="V169" s="4">
        <v>129.80000000000001</v>
      </c>
      <c r="W169" s="4">
        <v>132.80000000000001</v>
      </c>
      <c r="X169" s="4">
        <v>130.19999999999999</v>
      </c>
      <c r="Y169" s="4">
        <v>117.3</v>
      </c>
      <c r="Z169" s="4">
        <v>127.3</v>
      </c>
      <c r="AA169" s="4">
        <v>137.6</v>
      </c>
      <c r="AB169" s="4">
        <v>124.5</v>
      </c>
      <c r="AC169" s="4">
        <v>126.8</v>
      </c>
      <c r="AD169" s="4">
        <v>135.4</v>
      </c>
    </row>
    <row r="170" spans="1:30" hidden="1" x14ac:dyDescent="0.3">
      <c r="A170" t="s">
        <v>30</v>
      </c>
      <c r="B170">
        <v>2017</v>
      </c>
      <c r="C170" t="s">
        <v>42</v>
      </c>
      <c r="D170" s="4">
        <v>135.19999999999999</v>
      </c>
      <c r="E170" s="4">
        <v>142</v>
      </c>
      <c r="F170" s="4">
        <v>130.5</v>
      </c>
      <c r="G170" s="4">
        <v>140.19999999999999</v>
      </c>
      <c r="H170" s="4">
        <v>120.7</v>
      </c>
      <c r="I170" s="4">
        <v>147.80000000000001</v>
      </c>
      <c r="J170" s="4">
        <v>154.5</v>
      </c>
      <c r="K170" s="4">
        <v>137.1</v>
      </c>
      <c r="L170" s="4">
        <v>121</v>
      </c>
      <c r="M170" s="4">
        <v>134.69999999999999</v>
      </c>
      <c r="N170" s="4">
        <v>131.69999999999999</v>
      </c>
      <c r="O170" s="4">
        <v>149.30000000000001</v>
      </c>
      <c r="P170" s="4">
        <v>139.6</v>
      </c>
      <c r="Q170" s="4">
        <v>149.80000000000001</v>
      </c>
      <c r="R170" s="4">
        <v>146.1</v>
      </c>
      <c r="S170" s="4">
        <v>139.69999999999999</v>
      </c>
      <c r="T170" s="4">
        <v>145.19999999999999</v>
      </c>
      <c r="U170" s="4">
        <v>135.69999999999999</v>
      </c>
      <c r="V170" s="4">
        <v>137.4</v>
      </c>
      <c r="W170" s="4">
        <v>137.9</v>
      </c>
      <c r="X170" s="4">
        <v>133.4</v>
      </c>
      <c r="Y170" s="4">
        <v>121.2</v>
      </c>
      <c r="Z170" s="4">
        <v>132.30000000000001</v>
      </c>
      <c r="AA170" s="4">
        <v>139.6</v>
      </c>
      <c r="AB170" s="4">
        <v>126.7</v>
      </c>
      <c r="AC170" s="4">
        <v>130.30000000000001</v>
      </c>
      <c r="AD170" s="4">
        <v>137.6</v>
      </c>
    </row>
    <row r="171" spans="1:30" hidden="1" x14ac:dyDescent="0.3">
      <c r="A171" t="s">
        <v>33</v>
      </c>
      <c r="B171">
        <v>2017</v>
      </c>
      <c r="C171" t="s">
        <v>42</v>
      </c>
      <c r="D171" s="4">
        <v>133.6</v>
      </c>
      <c r="E171" s="4">
        <v>143</v>
      </c>
      <c r="F171" s="4">
        <v>129.69999999999999</v>
      </c>
      <c r="G171" s="4">
        <v>138.69999999999999</v>
      </c>
      <c r="H171" s="4">
        <v>114.5</v>
      </c>
      <c r="I171" s="4">
        <v>137.5</v>
      </c>
      <c r="J171" s="4">
        <v>160.69999999999999</v>
      </c>
      <c r="K171" s="4">
        <v>124.5</v>
      </c>
      <c r="L171" s="4">
        <v>122.4</v>
      </c>
      <c r="M171" s="4">
        <v>137.30000000000001</v>
      </c>
      <c r="N171" s="4">
        <v>124.8</v>
      </c>
      <c r="O171" s="4">
        <v>145</v>
      </c>
      <c r="P171" s="4">
        <v>138</v>
      </c>
      <c r="Q171" s="4">
        <v>153.6</v>
      </c>
      <c r="R171" s="4">
        <v>133.30000000000001</v>
      </c>
      <c r="S171" s="4">
        <v>124.6</v>
      </c>
      <c r="T171" s="4">
        <v>132</v>
      </c>
      <c r="U171" s="4">
        <v>135.69999999999999</v>
      </c>
      <c r="V171" s="4">
        <v>120.6</v>
      </c>
      <c r="W171" s="4">
        <v>128.1</v>
      </c>
      <c r="X171" s="4">
        <v>126.1</v>
      </c>
      <c r="Y171" s="4">
        <v>115.7</v>
      </c>
      <c r="Z171" s="4">
        <v>124.5</v>
      </c>
      <c r="AA171" s="4">
        <v>135.9</v>
      </c>
      <c r="AB171" s="4">
        <v>124.4</v>
      </c>
      <c r="AC171" s="4">
        <v>124.5</v>
      </c>
      <c r="AD171" s="4">
        <v>132.4</v>
      </c>
    </row>
    <row r="172" spans="1:30" hidden="1" x14ac:dyDescent="0.3">
      <c r="A172" t="s">
        <v>34</v>
      </c>
      <c r="B172">
        <v>2017</v>
      </c>
      <c r="C172" t="s">
        <v>42</v>
      </c>
      <c r="D172" s="4">
        <v>134.69999999999999</v>
      </c>
      <c r="E172" s="4">
        <v>142.4</v>
      </c>
      <c r="F172" s="4">
        <v>130.19999999999999</v>
      </c>
      <c r="G172" s="4">
        <v>139.6</v>
      </c>
      <c r="H172" s="4">
        <v>118.4</v>
      </c>
      <c r="I172" s="4">
        <v>143</v>
      </c>
      <c r="J172" s="4">
        <v>156.6</v>
      </c>
      <c r="K172" s="4">
        <v>132.9</v>
      </c>
      <c r="L172" s="4">
        <v>121.5</v>
      </c>
      <c r="M172" s="4">
        <v>135.6</v>
      </c>
      <c r="N172" s="4">
        <v>128.80000000000001</v>
      </c>
      <c r="O172" s="4">
        <v>147.30000000000001</v>
      </c>
      <c r="P172" s="4">
        <v>139</v>
      </c>
      <c r="Q172" s="4">
        <v>150.80000000000001</v>
      </c>
      <c r="R172" s="4">
        <v>141.1</v>
      </c>
      <c r="S172" s="4">
        <v>133.4</v>
      </c>
      <c r="T172" s="4">
        <v>140</v>
      </c>
      <c r="U172" s="4">
        <v>135.69999999999999</v>
      </c>
      <c r="V172" s="4">
        <v>131</v>
      </c>
      <c r="W172" s="4">
        <v>133.30000000000001</v>
      </c>
      <c r="X172" s="4">
        <v>130.6</v>
      </c>
      <c r="Y172" s="4">
        <v>118.3</v>
      </c>
      <c r="Z172" s="4">
        <v>127.9</v>
      </c>
      <c r="AA172" s="4">
        <v>137.4</v>
      </c>
      <c r="AB172" s="4">
        <v>125.7</v>
      </c>
      <c r="AC172" s="4">
        <v>127.5</v>
      </c>
      <c r="AD172" s="4">
        <v>135.19999999999999</v>
      </c>
    </row>
    <row r="173" spans="1:30" hidden="1" x14ac:dyDescent="0.3">
      <c r="A173" t="s">
        <v>30</v>
      </c>
      <c r="B173">
        <v>2017</v>
      </c>
      <c r="C173" t="s">
        <v>43</v>
      </c>
      <c r="D173" s="4">
        <v>135.9</v>
      </c>
      <c r="E173" s="4">
        <v>141.9</v>
      </c>
      <c r="F173" s="4">
        <v>131</v>
      </c>
      <c r="G173" s="4">
        <v>141.5</v>
      </c>
      <c r="H173" s="4">
        <v>121.4</v>
      </c>
      <c r="I173" s="4">
        <v>146.69999999999999</v>
      </c>
      <c r="J173" s="4">
        <v>157.1</v>
      </c>
      <c r="K173" s="4">
        <v>136.4</v>
      </c>
      <c r="L173" s="4">
        <v>121.4</v>
      </c>
      <c r="M173" s="4">
        <v>135.6</v>
      </c>
      <c r="N173" s="4">
        <v>131.30000000000001</v>
      </c>
      <c r="O173" s="4">
        <v>150.30000000000001</v>
      </c>
      <c r="P173" s="4">
        <v>140.4</v>
      </c>
      <c r="Q173" s="4">
        <v>150.5</v>
      </c>
      <c r="R173" s="4">
        <v>147.19999999999999</v>
      </c>
      <c r="S173" s="4">
        <v>140.6</v>
      </c>
      <c r="T173" s="4">
        <v>146.19999999999999</v>
      </c>
      <c r="U173" s="4">
        <v>137.30000000000001</v>
      </c>
      <c r="V173" s="4">
        <v>138.1</v>
      </c>
      <c r="W173" s="4">
        <v>138.4</v>
      </c>
      <c r="X173" s="4">
        <v>134.19999999999999</v>
      </c>
      <c r="Y173" s="4">
        <v>121</v>
      </c>
      <c r="Z173" s="4">
        <v>133</v>
      </c>
      <c r="AA173" s="4">
        <v>140.1</v>
      </c>
      <c r="AB173" s="4">
        <v>127.4</v>
      </c>
      <c r="AC173" s="4">
        <v>130.69999999999999</v>
      </c>
      <c r="AD173" s="4">
        <v>138.30000000000001</v>
      </c>
    </row>
    <row r="174" spans="1:30" hidden="1" x14ac:dyDescent="0.3">
      <c r="A174" t="s">
        <v>33</v>
      </c>
      <c r="B174">
        <v>2017</v>
      </c>
      <c r="C174" t="s">
        <v>43</v>
      </c>
      <c r="D174" s="4">
        <v>133.9</v>
      </c>
      <c r="E174" s="4">
        <v>142.80000000000001</v>
      </c>
      <c r="F174" s="4">
        <v>131.4</v>
      </c>
      <c r="G174" s="4">
        <v>139.1</v>
      </c>
      <c r="H174" s="4">
        <v>114.9</v>
      </c>
      <c r="I174" s="4">
        <v>135.6</v>
      </c>
      <c r="J174" s="4">
        <v>173.2</v>
      </c>
      <c r="K174" s="4">
        <v>124.1</v>
      </c>
      <c r="L174" s="4">
        <v>122.6</v>
      </c>
      <c r="M174" s="4">
        <v>137.80000000000001</v>
      </c>
      <c r="N174" s="4">
        <v>125.1</v>
      </c>
      <c r="O174" s="4">
        <v>145.5</v>
      </c>
      <c r="P174" s="4">
        <v>139.69999999999999</v>
      </c>
      <c r="Q174" s="4">
        <v>154.6</v>
      </c>
      <c r="R174" s="4">
        <v>134</v>
      </c>
      <c r="S174" s="4">
        <v>124.9</v>
      </c>
      <c r="T174" s="4">
        <v>132.6</v>
      </c>
      <c r="U174" s="4">
        <v>137.30000000000001</v>
      </c>
      <c r="V174" s="4">
        <v>122.6</v>
      </c>
      <c r="W174" s="4">
        <v>128.30000000000001</v>
      </c>
      <c r="X174" s="4">
        <v>126.6</v>
      </c>
      <c r="Y174" s="4">
        <v>115</v>
      </c>
      <c r="Z174" s="4">
        <v>124.8</v>
      </c>
      <c r="AA174" s="4">
        <v>136.30000000000001</v>
      </c>
      <c r="AB174" s="4">
        <v>124.6</v>
      </c>
      <c r="AC174" s="4">
        <v>124.5</v>
      </c>
      <c r="AD174" s="4">
        <v>133.5</v>
      </c>
    </row>
    <row r="175" spans="1:30" hidden="1" x14ac:dyDescent="0.3">
      <c r="A175" t="s">
        <v>34</v>
      </c>
      <c r="B175">
        <v>2017</v>
      </c>
      <c r="C175" t="s">
        <v>43</v>
      </c>
      <c r="D175" s="4">
        <v>135.30000000000001</v>
      </c>
      <c r="E175" s="4">
        <v>142.19999999999999</v>
      </c>
      <c r="F175" s="4">
        <v>131.19999999999999</v>
      </c>
      <c r="G175" s="4">
        <v>140.6</v>
      </c>
      <c r="H175" s="4">
        <v>119</v>
      </c>
      <c r="I175" s="4">
        <v>141.5</v>
      </c>
      <c r="J175" s="4">
        <v>162.6</v>
      </c>
      <c r="K175" s="4">
        <v>132.30000000000001</v>
      </c>
      <c r="L175" s="4">
        <v>121.8</v>
      </c>
      <c r="M175" s="4">
        <v>136.30000000000001</v>
      </c>
      <c r="N175" s="4">
        <v>128.69999999999999</v>
      </c>
      <c r="O175" s="4">
        <v>148.1</v>
      </c>
      <c r="P175" s="4">
        <v>140.1</v>
      </c>
      <c r="Q175" s="4">
        <v>151.6</v>
      </c>
      <c r="R175" s="4">
        <v>142</v>
      </c>
      <c r="S175" s="4">
        <v>134.1</v>
      </c>
      <c r="T175" s="4">
        <v>140.80000000000001</v>
      </c>
      <c r="U175" s="4">
        <v>137.30000000000001</v>
      </c>
      <c r="V175" s="4">
        <v>132.19999999999999</v>
      </c>
      <c r="W175" s="4">
        <v>133.6</v>
      </c>
      <c r="X175" s="4">
        <v>131.30000000000001</v>
      </c>
      <c r="Y175" s="4">
        <v>117.8</v>
      </c>
      <c r="Z175" s="4">
        <v>128.4</v>
      </c>
      <c r="AA175" s="4">
        <v>137.9</v>
      </c>
      <c r="AB175" s="4">
        <v>126.2</v>
      </c>
      <c r="AC175" s="4">
        <v>127.7</v>
      </c>
      <c r="AD175" s="4">
        <v>136.1</v>
      </c>
    </row>
    <row r="176" spans="1:30" hidden="1" x14ac:dyDescent="0.3">
      <c r="A176" t="s">
        <v>30</v>
      </c>
      <c r="B176">
        <v>2017</v>
      </c>
      <c r="C176" t="s">
        <v>45</v>
      </c>
      <c r="D176" s="4">
        <v>136.30000000000001</v>
      </c>
      <c r="E176" s="4">
        <v>142.5</v>
      </c>
      <c r="F176" s="4">
        <v>140.5</v>
      </c>
      <c r="G176" s="4">
        <v>141.5</v>
      </c>
      <c r="H176" s="4">
        <v>121.6</v>
      </c>
      <c r="I176" s="4">
        <v>147.30000000000001</v>
      </c>
      <c r="J176" s="4">
        <v>168</v>
      </c>
      <c r="K176" s="4">
        <v>135.80000000000001</v>
      </c>
      <c r="L176" s="4">
        <v>122.5</v>
      </c>
      <c r="M176" s="4">
        <v>136</v>
      </c>
      <c r="N176" s="4">
        <v>131.9</v>
      </c>
      <c r="O176" s="4">
        <v>151.4</v>
      </c>
      <c r="P176" s="4">
        <v>142.4</v>
      </c>
      <c r="Q176" s="4">
        <v>152.1</v>
      </c>
      <c r="R176" s="4">
        <v>148.19999999999999</v>
      </c>
      <c r="S176" s="4">
        <v>141.5</v>
      </c>
      <c r="T176" s="4">
        <v>147.30000000000001</v>
      </c>
      <c r="U176" s="4">
        <v>138.6</v>
      </c>
      <c r="V176" s="4">
        <v>141.1</v>
      </c>
      <c r="W176" s="4">
        <v>139.4</v>
      </c>
      <c r="X176" s="4">
        <v>135.80000000000001</v>
      </c>
      <c r="Y176" s="4">
        <v>121.6</v>
      </c>
      <c r="Z176" s="4">
        <v>133.69999999999999</v>
      </c>
      <c r="AA176" s="4">
        <v>141.5</v>
      </c>
      <c r="AB176" s="4">
        <v>128.1</v>
      </c>
      <c r="AC176" s="4">
        <v>131.69999999999999</v>
      </c>
      <c r="AD176" s="4">
        <v>140</v>
      </c>
    </row>
    <row r="177" spans="1:30" hidden="1" x14ac:dyDescent="0.3">
      <c r="A177" t="s">
        <v>33</v>
      </c>
      <c r="B177">
        <v>2017</v>
      </c>
      <c r="C177" t="s">
        <v>45</v>
      </c>
      <c r="D177" s="4">
        <v>134.30000000000001</v>
      </c>
      <c r="E177" s="4">
        <v>142.1</v>
      </c>
      <c r="F177" s="4">
        <v>146.69999999999999</v>
      </c>
      <c r="G177" s="4">
        <v>139.5</v>
      </c>
      <c r="H177" s="4">
        <v>115.2</v>
      </c>
      <c r="I177" s="4">
        <v>136.4</v>
      </c>
      <c r="J177" s="4">
        <v>185.2</v>
      </c>
      <c r="K177" s="4">
        <v>122.2</v>
      </c>
      <c r="L177" s="4">
        <v>123.9</v>
      </c>
      <c r="M177" s="4">
        <v>138.30000000000001</v>
      </c>
      <c r="N177" s="4">
        <v>125.4</v>
      </c>
      <c r="O177" s="4">
        <v>146</v>
      </c>
      <c r="P177" s="4">
        <v>141.5</v>
      </c>
      <c r="Q177" s="4">
        <v>156.19999999999999</v>
      </c>
      <c r="R177" s="4">
        <v>135</v>
      </c>
      <c r="S177" s="4">
        <v>125.4</v>
      </c>
      <c r="T177" s="4">
        <v>133.5</v>
      </c>
      <c r="U177" s="4">
        <v>138.6</v>
      </c>
      <c r="V177" s="4">
        <v>125.7</v>
      </c>
      <c r="W177" s="4">
        <v>128.80000000000001</v>
      </c>
      <c r="X177" s="4">
        <v>127.4</v>
      </c>
      <c r="Y177" s="4">
        <v>115.3</v>
      </c>
      <c r="Z177" s="4">
        <v>125.1</v>
      </c>
      <c r="AA177" s="4">
        <v>136.6</v>
      </c>
      <c r="AB177" s="4">
        <v>124.9</v>
      </c>
      <c r="AC177" s="4">
        <v>124.9</v>
      </c>
      <c r="AD177" s="4">
        <v>134.80000000000001</v>
      </c>
    </row>
    <row r="178" spans="1:30" hidden="1" x14ac:dyDescent="0.3">
      <c r="A178" t="s">
        <v>34</v>
      </c>
      <c r="B178">
        <v>2017</v>
      </c>
      <c r="C178" t="s">
        <v>45</v>
      </c>
      <c r="D178" s="4">
        <v>135.69999999999999</v>
      </c>
      <c r="E178" s="4">
        <v>142.4</v>
      </c>
      <c r="F178" s="4">
        <v>142.9</v>
      </c>
      <c r="G178" s="4">
        <v>140.80000000000001</v>
      </c>
      <c r="H178" s="4">
        <v>119.2</v>
      </c>
      <c r="I178" s="4">
        <v>142.19999999999999</v>
      </c>
      <c r="J178" s="4">
        <v>173.8</v>
      </c>
      <c r="K178" s="4">
        <v>131.19999999999999</v>
      </c>
      <c r="L178" s="4">
        <v>123</v>
      </c>
      <c r="M178" s="4">
        <v>136.80000000000001</v>
      </c>
      <c r="N178" s="4">
        <v>129.19999999999999</v>
      </c>
      <c r="O178" s="4">
        <v>148.9</v>
      </c>
      <c r="P178" s="4">
        <v>142.1</v>
      </c>
      <c r="Q178" s="4">
        <v>153.19999999999999</v>
      </c>
      <c r="R178" s="4">
        <v>143</v>
      </c>
      <c r="S178" s="4">
        <v>134.80000000000001</v>
      </c>
      <c r="T178" s="4">
        <v>141.80000000000001</v>
      </c>
      <c r="U178" s="4">
        <v>138.6</v>
      </c>
      <c r="V178" s="4">
        <v>135.30000000000001</v>
      </c>
      <c r="W178" s="4">
        <v>134.4</v>
      </c>
      <c r="X178" s="4">
        <v>132.6</v>
      </c>
      <c r="Y178" s="4">
        <v>118.3</v>
      </c>
      <c r="Z178" s="4">
        <v>128.9</v>
      </c>
      <c r="AA178" s="4">
        <v>138.6</v>
      </c>
      <c r="AB178" s="4">
        <v>126.8</v>
      </c>
      <c r="AC178" s="4">
        <v>128.4</v>
      </c>
      <c r="AD178" s="4">
        <v>137.6</v>
      </c>
    </row>
    <row r="179" spans="1:30" hidden="1" x14ac:dyDescent="0.3">
      <c r="A179" t="s">
        <v>30</v>
      </c>
      <c r="B179">
        <v>2017</v>
      </c>
      <c r="C179" t="s">
        <v>46</v>
      </c>
      <c r="D179" s="4">
        <v>136.4</v>
      </c>
      <c r="E179" s="4">
        <v>143.69999999999999</v>
      </c>
      <c r="F179" s="4">
        <v>144.80000000000001</v>
      </c>
      <c r="G179" s="4">
        <v>141.9</v>
      </c>
      <c r="H179" s="4">
        <v>123.1</v>
      </c>
      <c r="I179" s="4">
        <v>147.19999999999999</v>
      </c>
      <c r="J179" s="4">
        <v>161</v>
      </c>
      <c r="K179" s="4">
        <v>133.80000000000001</v>
      </c>
      <c r="L179" s="4">
        <v>121.9</v>
      </c>
      <c r="M179" s="4">
        <v>135.80000000000001</v>
      </c>
      <c r="N179" s="4">
        <v>131.1</v>
      </c>
      <c r="O179" s="4">
        <v>151.4</v>
      </c>
      <c r="P179" s="4">
        <v>141.5</v>
      </c>
      <c r="Q179" s="4">
        <v>153.19999999999999</v>
      </c>
      <c r="R179" s="4">
        <v>148</v>
      </c>
      <c r="S179" s="4">
        <v>141.9</v>
      </c>
      <c r="T179" s="4">
        <v>147.19999999999999</v>
      </c>
      <c r="U179" s="4">
        <v>139.1</v>
      </c>
      <c r="V179" s="4">
        <v>142.6</v>
      </c>
      <c r="W179" s="4">
        <v>139.5</v>
      </c>
      <c r="X179" s="4">
        <v>136.1</v>
      </c>
      <c r="Y179" s="4">
        <v>122</v>
      </c>
      <c r="Z179" s="4">
        <v>133.4</v>
      </c>
      <c r="AA179" s="4">
        <v>141.1</v>
      </c>
      <c r="AB179" s="4">
        <v>127.8</v>
      </c>
      <c r="AC179" s="4">
        <v>131.9</v>
      </c>
      <c r="AD179" s="4">
        <v>139.80000000000001</v>
      </c>
    </row>
    <row r="180" spans="1:30" hidden="1" x14ac:dyDescent="0.3">
      <c r="A180" t="s">
        <v>33</v>
      </c>
      <c r="B180">
        <v>2017</v>
      </c>
      <c r="C180" t="s">
        <v>46</v>
      </c>
      <c r="D180" s="4">
        <v>134.4</v>
      </c>
      <c r="E180" s="4">
        <v>142.6</v>
      </c>
      <c r="F180" s="4">
        <v>145.9</v>
      </c>
      <c r="G180" s="4">
        <v>139.5</v>
      </c>
      <c r="H180" s="4">
        <v>115.9</v>
      </c>
      <c r="I180" s="4">
        <v>135</v>
      </c>
      <c r="J180" s="4">
        <v>163.19999999999999</v>
      </c>
      <c r="K180" s="4">
        <v>119.8</v>
      </c>
      <c r="L180" s="4">
        <v>120.7</v>
      </c>
      <c r="M180" s="4">
        <v>139.69999999999999</v>
      </c>
      <c r="N180" s="4">
        <v>125.7</v>
      </c>
      <c r="O180" s="4">
        <v>146.30000000000001</v>
      </c>
      <c r="P180" s="4">
        <v>138.80000000000001</v>
      </c>
      <c r="Q180" s="4">
        <v>157</v>
      </c>
      <c r="R180" s="4">
        <v>135.6</v>
      </c>
      <c r="S180" s="4">
        <v>125.6</v>
      </c>
      <c r="T180" s="4">
        <v>134</v>
      </c>
      <c r="U180" s="4">
        <v>139.1</v>
      </c>
      <c r="V180" s="4">
        <v>126.8</v>
      </c>
      <c r="W180" s="4">
        <v>129.30000000000001</v>
      </c>
      <c r="X180" s="4">
        <v>128.19999999999999</v>
      </c>
      <c r="Y180" s="4">
        <v>115.3</v>
      </c>
      <c r="Z180" s="4">
        <v>125.6</v>
      </c>
      <c r="AA180" s="4">
        <v>136.69999999999999</v>
      </c>
      <c r="AB180" s="4">
        <v>124.6</v>
      </c>
      <c r="AC180" s="4">
        <v>125.1</v>
      </c>
      <c r="AD180" s="4">
        <v>134.1</v>
      </c>
    </row>
    <row r="181" spans="1:30" hidden="1" x14ac:dyDescent="0.3">
      <c r="A181" t="s">
        <v>34</v>
      </c>
      <c r="B181">
        <v>2017</v>
      </c>
      <c r="C181" t="s">
        <v>46</v>
      </c>
      <c r="D181" s="4">
        <v>135.80000000000001</v>
      </c>
      <c r="E181" s="4">
        <v>143.30000000000001</v>
      </c>
      <c r="F181" s="4">
        <v>145.19999999999999</v>
      </c>
      <c r="G181" s="4">
        <v>141</v>
      </c>
      <c r="H181" s="4">
        <v>120.5</v>
      </c>
      <c r="I181" s="4">
        <v>141.5</v>
      </c>
      <c r="J181" s="4">
        <v>161.69999999999999</v>
      </c>
      <c r="K181" s="4">
        <v>129.1</v>
      </c>
      <c r="L181" s="4">
        <v>121.5</v>
      </c>
      <c r="M181" s="4">
        <v>137.1</v>
      </c>
      <c r="N181" s="4">
        <v>128.80000000000001</v>
      </c>
      <c r="O181" s="4">
        <v>149</v>
      </c>
      <c r="P181" s="4">
        <v>140.5</v>
      </c>
      <c r="Q181" s="4">
        <v>154.19999999999999</v>
      </c>
      <c r="R181" s="4">
        <v>143.1</v>
      </c>
      <c r="S181" s="4">
        <v>135.1</v>
      </c>
      <c r="T181" s="4">
        <v>142</v>
      </c>
      <c r="U181" s="4">
        <v>139.1</v>
      </c>
      <c r="V181" s="4">
        <v>136.6</v>
      </c>
      <c r="W181" s="4">
        <v>134.69999999999999</v>
      </c>
      <c r="X181" s="4">
        <v>133.1</v>
      </c>
      <c r="Y181" s="4">
        <v>118.5</v>
      </c>
      <c r="Z181" s="4">
        <v>129</v>
      </c>
      <c r="AA181" s="4">
        <v>138.5</v>
      </c>
      <c r="AB181" s="4">
        <v>126.5</v>
      </c>
      <c r="AC181" s="4">
        <v>128.6</v>
      </c>
      <c r="AD181" s="4">
        <v>137.19999999999999</v>
      </c>
    </row>
    <row r="182" spans="1:30" hidden="1" x14ac:dyDescent="0.3">
      <c r="A182" t="s">
        <v>30</v>
      </c>
      <c r="B182">
        <v>2018</v>
      </c>
      <c r="C182" t="s">
        <v>31</v>
      </c>
      <c r="D182" s="4">
        <v>136.6</v>
      </c>
      <c r="E182" s="4">
        <v>144.4</v>
      </c>
      <c r="F182" s="4">
        <v>143.80000000000001</v>
      </c>
      <c r="G182" s="4">
        <v>142</v>
      </c>
      <c r="H182" s="4">
        <v>123.2</v>
      </c>
      <c r="I182" s="4">
        <v>147.9</v>
      </c>
      <c r="J182" s="4">
        <v>152.1</v>
      </c>
      <c r="K182" s="4">
        <v>131.80000000000001</v>
      </c>
      <c r="L182" s="4">
        <v>119.5</v>
      </c>
      <c r="M182" s="4">
        <v>136</v>
      </c>
      <c r="N182" s="4">
        <v>131.19999999999999</v>
      </c>
      <c r="O182" s="4">
        <v>151.80000000000001</v>
      </c>
      <c r="P182" s="4">
        <v>140.4</v>
      </c>
      <c r="Q182" s="4">
        <v>153.6</v>
      </c>
      <c r="R182" s="4">
        <v>148.30000000000001</v>
      </c>
      <c r="S182" s="4">
        <v>142.30000000000001</v>
      </c>
      <c r="T182" s="4">
        <v>147.5</v>
      </c>
      <c r="U182" s="4">
        <v>140.4</v>
      </c>
      <c r="V182" s="4">
        <v>142.30000000000001</v>
      </c>
      <c r="W182" s="4">
        <v>139.80000000000001</v>
      </c>
      <c r="X182" s="4">
        <v>136</v>
      </c>
      <c r="Y182" s="4">
        <v>122.7</v>
      </c>
      <c r="Z182" s="4">
        <v>134.30000000000001</v>
      </c>
      <c r="AA182" s="4">
        <v>141.6</v>
      </c>
      <c r="AB182" s="4">
        <v>128.6</v>
      </c>
      <c r="AC182" s="4">
        <v>132.30000000000001</v>
      </c>
      <c r="AD182" s="4">
        <v>139.30000000000001</v>
      </c>
    </row>
    <row r="183" spans="1:30" hidden="1" x14ac:dyDescent="0.3">
      <c r="A183" t="s">
        <v>33</v>
      </c>
      <c r="B183">
        <v>2018</v>
      </c>
      <c r="C183" t="s">
        <v>31</v>
      </c>
      <c r="D183" s="4">
        <v>134.6</v>
      </c>
      <c r="E183" s="4">
        <v>143.69999999999999</v>
      </c>
      <c r="F183" s="4">
        <v>143.6</v>
      </c>
      <c r="G183" s="4">
        <v>139.6</v>
      </c>
      <c r="H183" s="4">
        <v>116.4</v>
      </c>
      <c r="I183" s="4">
        <v>133.80000000000001</v>
      </c>
      <c r="J183" s="4">
        <v>150.5</v>
      </c>
      <c r="K183" s="4">
        <v>118.4</v>
      </c>
      <c r="L183" s="4">
        <v>117.3</v>
      </c>
      <c r="M183" s="4">
        <v>140.5</v>
      </c>
      <c r="N183" s="4">
        <v>125.9</v>
      </c>
      <c r="O183" s="4">
        <v>146.80000000000001</v>
      </c>
      <c r="P183" s="4">
        <v>137.19999999999999</v>
      </c>
      <c r="Q183" s="4">
        <v>157.69999999999999</v>
      </c>
      <c r="R183" s="4">
        <v>136</v>
      </c>
      <c r="S183" s="4">
        <v>125.9</v>
      </c>
      <c r="T183" s="4">
        <v>134.4</v>
      </c>
      <c r="U183" s="4">
        <v>140.4</v>
      </c>
      <c r="V183" s="4">
        <v>127.3</v>
      </c>
      <c r="W183" s="4">
        <v>129.5</v>
      </c>
      <c r="X183" s="4">
        <v>129</v>
      </c>
      <c r="Y183" s="4">
        <v>116.3</v>
      </c>
      <c r="Z183" s="4">
        <v>126.2</v>
      </c>
      <c r="AA183" s="4">
        <v>137.1</v>
      </c>
      <c r="AB183" s="4">
        <v>125.5</v>
      </c>
      <c r="AC183" s="4">
        <v>125.8</v>
      </c>
      <c r="AD183" s="4">
        <v>134.1</v>
      </c>
    </row>
    <row r="184" spans="1:30" hidden="1" x14ac:dyDescent="0.3">
      <c r="A184" t="s">
        <v>34</v>
      </c>
      <c r="B184">
        <v>2018</v>
      </c>
      <c r="C184" t="s">
        <v>31</v>
      </c>
      <c r="D184" s="4">
        <v>136</v>
      </c>
      <c r="E184" s="4">
        <v>144.19999999999999</v>
      </c>
      <c r="F184" s="4">
        <v>143.69999999999999</v>
      </c>
      <c r="G184" s="4">
        <v>141.1</v>
      </c>
      <c r="H184" s="4">
        <v>120.7</v>
      </c>
      <c r="I184" s="4">
        <v>141.30000000000001</v>
      </c>
      <c r="J184" s="4">
        <v>151.6</v>
      </c>
      <c r="K184" s="4">
        <v>127.3</v>
      </c>
      <c r="L184" s="4">
        <v>118.8</v>
      </c>
      <c r="M184" s="4">
        <v>137.5</v>
      </c>
      <c r="N184" s="4">
        <v>129</v>
      </c>
      <c r="O184" s="4">
        <v>149.5</v>
      </c>
      <c r="P184" s="4">
        <v>139.19999999999999</v>
      </c>
      <c r="Q184" s="4">
        <v>154.69999999999999</v>
      </c>
      <c r="R184" s="4">
        <v>143.5</v>
      </c>
      <c r="S184" s="4">
        <v>135.5</v>
      </c>
      <c r="T184" s="4">
        <v>142.30000000000001</v>
      </c>
      <c r="U184" s="4">
        <v>140.4</v>
      </c>
      <c r="V184" s="4">
        <v>136.6</v>
      </c>
      <c r="W184" s="4">
        <v>134.9</v>
      </c>
      <c r="X184" s="4">
        <v>133.30000000000001</v>
      </c>
      <c r="Y184" s="4">
        <v>119.3</v>
      </c>
      <c r="Z184" s="4">
        <v>129.69999999999999</v>
      </c>
      <c r="AA184" s="4">
        <v>139</v>
      </c>
      <c r="AB184" s="4">
        <v>127.3</v>
      </c>
      <c r="AC184" s="4">
        <v>129.1</v>
      </c>
      <c r="AD184" s="4">
        <v>136.9</v>
      </c>
    </row>
    <row r="185" spans="1:30" hidden="1" x14ac:dyDescent="0.3">
      <c r="A185" t="s">
        <v>30</v>
      </c>
      <c r="B185">
        <v>2018</v>
      </c>
      <c r="C185" t="s">
        <v>35</v>
      </c>
      <c r="D185" s="4">
        <v>136.4</v>
      </c>
      <c r="E185" s="4">
        <v>143.69999999999999</v>
      </c>
      <c r="F185" s="4">
        <v>140.6</v>
      </c>
      <c r="G185" s="4">
        <v>141.5</v>
      </c>
      <c r="H185" s="4">
        <v>122.9</v>
      </c>
      <c r="I185" s="4">
        <v>149.4</v>
      </c>
      <c r="J185" s="4">
        <v>142.4</v>
      </c>
      <c r="K185" s="4">
        <v>130.19999999999999</v>
      </c>
      <c r="L185" s="4">
        <v>117.9</v>
      </c>
      <c r="M185" s="4">
        <v>135.6</v>
      </c>
      <c r="N185" s="4">
        <v>130.5</v>
      </c>
      <c r="O185" s="4">
        <v>151.69999999999999</v>
      </c>
      <c r="P185" s="4">
        <v>138.69999999999999</v>
      </c>
      <c r="Q185" s="4">
        <v>153.30000000000001</v>
      </c>
      <c r="R185" s="4">
        <v>148.69999999999999</v>
      </c>
      <c r="S185" s="4">
        <v>142.4</v>
      </c>
      <c r="T185" s="4">
        <v>147.80000000000001</v>
      </c>
      <c r="U185" s="4">
        <v>141.30000000000001</v>
      </c>
      <c r="V185" s="4">
        <v>142.4</v>
      </c>
      <c r="W185" s="4">
        <v>139.9</v>
      </c>
      <c r="X185" s="4">
        <v>136.19999999999999</v>
      </c>
      <c r="Y185" s="4">
        <v>123.3</v>
      </c>
      <c r="Z185" s="4">
        <v>134.30000000000001</v>
      </c>
      <c r="AA185" s="4">
        <v>141.5</v>
      </c>
      <c r="AB185" s="4">
        <v>128.80000000000001</v>
      </c>
      <c r="AC185" s="4">
        <v>132.5</v>
      </c>
      <c r="AD185" s="4">
        <v>138.5</v>
      </c>
    </row>
    <row r="186" spans="1:30" hidden="1" x14ac:dyDescent="0.3">
      <c r="A186" t="s">
        <v>33</v>
      </c>
      <c r="B186">
        <v>2018</v>
      </c>
      <c r="C186" t="s">
        <v>35</v>
      </c>
      <c r="D186" s="4">
        <v>134.80000000000001</v>
      </c>
      <c r="E186" s="4">
        <v>143</v>
      </c>
      <c r="F186" s="4">
        <v>139.9</v>
      </c>
      <c r="G186" s="4">
        <v>139.9</v>
      </c>
      <c r="H186" s="4">
        <v>116.2</v>
      </c>
      <c r="I186" s="4">
        <v>135.5</v>
      </c>
      <c r="J186" s="4">
        <v>136.9</v>
      </c>
      <c r="K186" s="4">
        <v>117</v>
      </c>
      <c r="L186" s="4">
        <v>115.4</v>
      </c>
      <c r="M186" s="4">
        <v>140.69999999999999</v>
      </c>
      <c r="N186" s="4">
        <v>125.9</v>
      </c>
      <c r="O186" s="4">
        <v>147.1</v>
      </c>
      <c r="P186" s="4">
        <v>135.6</v>
      </c>
      <c r="Q186" s="4">
        <v>159.30000000000001</v>
      </c>
      <c r="R186" s="4">
        <v>136.30000000000001</v>
      </c>
      <c r="S186" s="4">
        <v>126.1</v>
      </c>
      <c r="T186" s="4">
        <v>134.69999999999999</v>
      </c>
      <c r="U186" s="4">
        <v>141.30000000000001</v>
      </c>
      <c r="V186" s="4">
        <v>127.3</v>
      </c>
      <c r="W186" s="4">
        <v>129.9</v>
      </c>
      <c r="X186" s="4">
        <v>129.80000000000001</v>
      </c>
      <c r="Y186" s="4">
        <v>117.4</v>
      </c>
      <c r="Z186" s="4">
        <v>126.5</v>
      </c>
      <c r="AA186" s="4">
        <v>137.19999999999999</v>
      </c>
      <c r="AB186" s="4">
        <v>126.2</v>
      </c>
      <c r="AC186" s="4">
        <v>126.5</v>
      </c>
      <c r="AD186" s="4">
        <v>134</v>
      </c>
    </row>
    <row r="187" spans="1:30" hidden="1" x14ac:dyDescent="0.3">
      <c r="A187" t="s">
        <v>34</v>
      </c>
      <c r="B187">
        <v>2018</v>
      </c>
      <c r="C187" t="s">
        <v>35</v>
      </c>
      <c r="D187" s="4">
        <v>135.9</v>
      </c>
      <c r="E187" s="4">
        <v>143.5</v>
      </c>
      <c r="F187" s="4">
        <v>140.30000000000001</v>
      </c>
      <c r="G187" s="4">
        <v>140.9</v>
      </c>
      <c r="H187" s="4">
        <v>120.4</v>
      </c>
      <c r="I187" s="4">
        <v>142.9</v>
      </c>
      <c r="J187" s="4">
        <v>140.5</v>
      </c>
      <c r="K187" s="4">
        <v>125.8</v>
      </c>
      <c r="L187" s="4">
        <v>117.1</v>
      </c>
      <c r="M187" s="4">
        <v>137.30000000000001</v>
      </c>
      <c r="N187" s="4">
        <v>128.6</v>
      </c>
      <c r="O187" s="4">
        <v>149.6</v>
      </c>
      <c r="P187" s="4">
        <v>137.6</v>
      </c>
      <c r="Q187" s="4">
        <v>154.9</v>
      </c>
      <c r="R187" s="4">
        <v>143.80000000000001</v>
      </c>
      <c r="S187" s="4">
        <v>135.6</v>
      </c>
      <c r="T187" s="4">
        <v>142.6</v>
      </c>
      <c r="U187" s="4">
        <v>141.30000000000001</v>
      </c>
      <c r="V187" s="4">
        <v>136.69999999999999</v>
      </c>
      <c r="W187" s="4">
        <v>135.19999999999999</v>
      </c>
      <c r="X187" s="4">
        <v>133.80000000000001</v>
      </c>
      <c r="Y187" s="4">
        <v>120.2</v>
      </c>
      <c r="Z187" s="4">
        <v>129.9</v>
      </c>
      <c r="AA187" s="4">
        <v>139</v>
      </c>
      <c r="AB187" s="4">
        <v>127.7</v>
      </c>
      <c r="AC187" s="4">
        <v>129.6</v>
      </c>
      <c r="AD187" s="4">
        <v>136.4</v>
      </c>
    </row>
    <row r="188" spans="1:30" hidden="1" x14ac:dyDescent="0.3">
      <c r="A188" t="s">
        <v>30</v>
      </c>
      <c r="B188">
        <v>2018</v>
      </c>
      <c r="C188" t="s">
        <v>36</v>
      </c>
      <c r="D188" s="4">
        <v>136.80000000000001</v>
      </c>
      <c r="E188" s="4">
        <v>143.80000000000001</v>
      </c>
      <c r="F188" s="4">
        <v>140</v>
      </c>
      <c r="G188" s="4">
        <v>142</v>
      </c>
      <c r="H188" s="4">
        <v>123.2</v>
      </c>
      <c r="I188" s="4">
        <v>152.9</v>
      </c>
      <c r="J188" s="4">
        <v>138</v>
      </c>
      <c r="K188" s="4">
        <v>129.30000000000001</v>
      </c>
      <c r="L188" s="4">
        <v>117.1</v>
      </c>
      <c r="M188" s="4">
        <v>136.30000000000001</v>
      </c>
      <c r="N188" s="4">
        <v>131.19999999999999</v>
      </c>
      <c r="O188" s="4">
        <v>152.80000000000001</v>
      </c>
      <c r="P188" s="4">
        <v>138.6</v>
      </c>
      <c r="Q188" s="4">
        <v>155.1</v>
      </c>
      <c r="R188" s="4">
        <v>149.19999999999999</v>
      </c>
      <c r="S188" s="4">
        <v>143</v>
      </c>
      <c r="T188" s="4">
        <v>148.30000000000001</v>
      </c>
      <c r="U188" s="4">
        <v>142</v>
      </c>
      <c r="V188" s="4">
        <v>142.6</v>
      </c>
      <c r="W188" s="4">
        <v>139.9</v>
      </c>
      <c r="X188" s="4">
        <v>136.69999999999999</v>
      </c>
      <c r="Y188" s="4">
        <v>124.6</v>
      </c>
      <c r="Z188" s="4">
        <v>135.1</v>
      </c>
      <c r="AA188" s="4">
        <v>142.69999999999999</v>
      </c>
      <c r="AB188" s="4">
        <v>129.30000000000001</v>
      </c>
      <c r="AC188" s="4">
        <v>133.30000000000001</v>
      </c>
      <c r="AD188" s="4">
        <v>138.69999999999999</v>
      </c>
    </row>
    <row r="189" spans="1:30" hidden="1" x14ac:dyDescent="0.3">
      <c r="A189" t="s">
        <v>33</v>
      </c>
      <c r="B189">
        <v>2018</v>
      </c>
      <c r="C189" t="s">
        <v>36</v>
      </c>
      <c r="D189" s="4">
        <v>135</v>
      </c>
      <c r="E189" s="4">
        <v>143.1</v>
      </c>
      <c r="F189" s="4">
        <v>135.5</v>
      </c>
      <c r="G189" s="4">
        <v>139.9</v>
      </c>
      <c r="H189" s="4">
        <v>116.5</v>
      </c>
      <c r="I189" s="4">
        <v>138.5</v>
      </c>
      <c r="J189" s="4">
        <v>128</v>
      </c>
      <c r="K189" s="4">
        <v>115.5</v>
      </c>
      <c r="L189" s="4">
        <v>114.2</v>
      </c>
      <c r="M189" s="4">
        <v>140.69999999999999</v>
      </c>
      <c r="N189" s="4">
        <v>126.2</v>
      </c>
      <c r="O189" s="4">
        <v>147.6</v>
      </c>
      <c r="P189" s="4">
        <v>134.80000000000001</v>
      </c>
      <c r="Q189" s="4">
        <v>159.69999999999999</v>
      </c>
      <c r="R189" s="4">
        <v>136.69999999999999</v>
      </c>
      <c r="S189" s="4">
        <v>126.7</v>
      </c>
      <c r="T189" s="4">
        <v>135.19999999999999</v>
      </c>
      <c r="U189" s="4">
        <v>142</v>
      </c>
      <c r="V189" s="4">
        <v>126.4</v>
      </c>
      <c r="W189" s="4">
        <v>130.80000000000001</v>
      </c>
      <c r="X189" s="4">
        <v>130.5</v>
      </c>
      <c r="Y189" s="4">
        <v>117.8</v>
      </c>
      <c r="Z189" s="4">
        <v>126.8</v>
      </c>
      <c r="AA189" s="4">
        <v>137.80000000000001</v>
      </c>
      <c r="AB189" s="4">
        <v>126.7</v>
      </c>
      <c r="AC189" s="4">
        <v>127.1</v>
      </c>
      <c r="AD189" s="4">
        <v>134</v>
      </c>
    </row>
    <row r="190" spans="1:30" hidden="1" x14ac:dyDescent="0.3">
      <c r="A190" t="s">
        <v>34</v>
      </c>
      <c r="B190">
        <v>2018</v>
      </c>
      <c r="C190" t="s">
        <v>36</v>
      </c>
      <c r="D190" s="4">
        <v>136.19999999999999</v>
      </c>
      <c r="E190" s="4">
        <v>143.6</v>
      </c>
      <c r="F190" s="4">
        <v>138.30000000000001</v>
      </c>
      <c r="G190" s="4">
        <v>141.19999999999999</v>
      </c>
      <c r="H190" s="4">
        <v>120.7</v>
      </c>
      <c r="I190" s="4">
        <v>146.19999999999999</v>
      </c>
      <c r="J190" s="4">
        <v>134.6</v>
      </c>
      <c r="K190" s="4">
        <v>124.6</v>
      </c>
      <c r="L190" s="4">
        <v>116.1</v>
      </c>
      <c r="M190" s="4">
        <v>137.80000000000001</v>
      </c>
      <c r="N190" s="4">
        <v>129.1</v>
      </c>
      <c r="O190" s="4">
        <v>150.4</v>
      </c>
      <c r="P190" s="4">
        <v>137.19999999999999</v>
      </c>
      <c r="Q190" s="4">
        <v>156.30000000000001</v>
      </c>
      <c r="R190" s="4">
        <v>144.30000000000001</v>
      </c>
      <c r="S190" s="4">
        <v>136.19999999999999</v>
      </c>
      <c r="T190" s="4">
        <v>143.1</v>
      </c>
      <c r="U190" s="4">
        <v>142</v>
      </c>
      <c r="V190" s="4">
        <v>136.5</v>
      </c>
      <c r="W190" s="4">
        <v>135.6</v>
      </c>
      <c r="X190" s="4">
        <v>134.30000000000001</v>
      </c>
      <c r="Y190" s="4">
        <v>121</v>
      </c>
      <c r="Z190" s="4">
        <v>130.4</v>
      </c>
      <c r="AA190" s="4">
        <v>139.80000000000001</v>
      </c>
      <c r="AB190" s="4">
        <v>128.19999999999999</v>
      </c>
      <c r="AC190" s="4">
        <v>130.30000000000001</v>
      </c>
      <c r="AD190" s="4">
        <v>136.5</v>
      </c>
    </row>
    <row r="191" spans="1:30" hidden="1" x14ac:dyDescent="0.3">
      <c r="A191" t="s">
        <v>30</v>
      </c>
      <c r="B191">
        <v>2018</v>
      </c>
      <c r="C191" t="s">
        <v>37</v>
      </c>
      <c r="D191" s="4">
        <v>137.1</v>
      </c>
      <c r="E191" s="4">
        <v>144.5</v>
      </c>
      <c r="F191" s="4">
        <v>135.9</v>
      </c>
      <c r="G191" s="4">
        <v>142.4</v>
      </c>
      <c r="H191" s="4">
        <v>123.5</v>
      </c>
      <c r="I191" s="4">
        <v>156.4</v>
      </c>
      <c r="J191" s="4">
        <v>135.1</v>
      </c>
      <c r="K191" s="4">
        <v>128.4</v>
      </c>
      <c r="L191" s="4">
        <v>115.2</v>
      </c>
      <c r="M191" s="4">
        <v>137.19999999999999</v>
      </c>
      <c r="N191" s="4">
        <v>131.9</v>
      </c>
      <c r="O191" s="4">
        <v>153.80000000000001</v>
      </c>
      <c r="P191" s="4">
        <v>138.6</v>
      </c>
      <c r="Q191" s="4">
        <v>156.1</v>
      </c>
      <c r="R191" s="4">
        <v>150.1</v>
      </c>
      <c r="S191" s="4">
        <v>143.30000000000001</v>
      </c>
      <c r="T191" s="4">
        <v>149.1</v>
      </c>
      <c r="U191" s="4">
        <v>142.9</v>
      </c>
      <c r="V191" s="4">
        <v>143.80000000000001</v>
      </c>
      <c r="W191" s="4">
        <v>140.9</v>
      </c>
      <c r="X191" s="4">
        <v>137.6</v>
      </c>
      <c r="Y191" s="4">
        <v>125.3</v>
      </c>
      <c r="Z191" s="4">
        <v>136</v>
      </c>
      <c r="AA191" s="4">
        <v>143.69999999999999</v>
      </c>
      <c r="AB191" s="4">
        <v>130.4</v>
      </c>
      <c r="AC191" s="4">
        <v>134.19999999999999</v>
      </c>
      <c r="AD191" s="4">
        <v>139.1</v>
      </c>
    </row>
    <row r="192" spans="1:30" hidden="1" x14ac:dyDescent="0.3">
      <c r="A192" t="s">
        <v>33</v>
      </c>
      <c r="B192">
        <v>2018</v>
      </c>
      <c r="C192" t="s">
        <v>37</v>
      </c>
      <c r="D192" s="4">
        <v>135</v>
      </c>
      <c r="E192" s="4">
        <v>144.30000000000001</v>
      </c>
      <c r="F192" s="4">
        <v>130.80000000000001</v>
      </c>
      <c r="G192" s="4">
        <v>140.30000000000001</v>
      </c>
      <c r="H192" s="4">
        <v>116.6</v>
      </c>
      <c r="I192" s="4">
        <v>150.1</v>
      </c>
      <c r="J192" s="4">
        <v>127.6</v>
      </c>
      <c r="K192" s="4">
        <v>114</v>
      </c>
      <c r="L192" s="4">
        <v>110.6</v>
      </c>
      <c r="M192" s="4">
        <v>140.19999999999999</v>
      </c>
      <c r="N192" s="4">
        <v>126.5</v>
      </c>
      <c r="O192" s="4">
        <v>148.30000000000001</v>
      </c>
      <c r="P192" s="4">
        <v>135.69999999999999</v>
      </c>
      <c r="Q192" s="4">
        <v>159.19999999999999</v>
      </c>
      <c r="R192" s="4">
        <v>137.80000000000001</v>
      </c>
      <c r="S192" s="4">
        <v>127.4</v>
      </c>
      <c r="T192" s="4">
        <v>136.19999999999999</v>
      </c>
      <c r="U192" s="4">
        <v>142.9</v>
      </c>
      <c r="V192" s="4">
        <v>124.6</v>
      </c>
      <c r="W192" s="4">
        <v>131.80000000000001</v>
      </c>
      <c r="X192" s="4">
        <v>131.30000000000001</v>
      </c>
      <c r="Y192" s="4">
        <v>118.9</v>
      </c>
      <c r="Z192" s="4">
        <v>127.6</v>
      </c>
      <c r="AA192" s="4">
        <v>139.69999999999999</v>
      </c>
      <c r="AB192" s="4">
        <v>127.6</v>
      </c>
      <c r="AC192" s="4">
        <v>128.19999999999999</v>
      </c>
      <c r="AD192" s="4">
        <v>134.80000000000001</v>
      </c>
    </row>
    <row r="193" spans="1:30" hidden="1" x14ac:dyDescent="0.3">
      <c r="A193" t="s">
        <v>34</v>
      </c>
      <c r="B193">
        <v>2018</v>
      </c>
      <c r="C193" t="s">
        <v>37</v>
      </c>
      <c r="D193" s="4">
        <v>136.4</v>
      </c>
      <c r="E193" s="4">
        <v>144.4</v>
      </c>
      <c r="F193" s="4">
        <v>133.9</v>
      </c>
      <c r="G193" s="4">
        <v>141.6</v>
      </c>
      <c r="H193" s="4">
        <v>121</v>
      </c>
      <c r="I193" s="4">
        <v>153.5</v>
      </c>
      <c r="J193" s="4">
        <v>132.6</v>
      </c>
      <c r="K193" s="4">
        <v>123.5</v>
      </c>
      <c r="L193" s="4">
        <v>113.7</v>
      </c>
      <c r="M193" s="4">
        <v>138.19999999999999</v>
      </c>
      <c r="N193" s="4">
        <v>129.6</v>
      </c>
      <c r="O193" s="4">
        <v>151.19999999999999</v>
      </c>
      <c r="P193" s="4">
        <v>137.5</v>
      </c>
      <c r="Q193" s="4">
        <v>156.9</v>
      </c>
      <c r="R193" s="4">
        <v>145.30000000000001</v>
      </c>
      <c r="S193" s="4">
        <v>136.69999999999999</v>
      </c>
      <c r="T193" s="4">
        <v>144</v>
      </c>
      <c r="U193" s="4">
        <v>142.9</v>
      </c>
      <c r="V193" s="4">
        <v>136.5</v>
      </c>
      <c r="W193" s="4">
        <v>136.6</v>
      </c>
      <c r="X193" s="4">
        <v>135.19999999999999</v>
      </c>
      <c r="Y193" s="4">
        <v>121.9</v>
      </c>
      <c r="Z193" s="4">
        <v>131.30000000000001</v>
      </c>
      <c r="AA193" s="4">
        <v>141.4</v>
      </c>
      <c r="AB193" s="4">
        <v>129.19999999999999</v>
      </c>
      <c r="AC193" s="4">
        <v>131.30000000000001</v>
      </c>
      <c r="AD193" s="4">
        <v>137.1</v>
      </c>
    </row>
    <row r="194" spans="1:30" hidden="1" x14ac:dyDescent="0.3">
      <c r="A194" t="s">
        <v>30</v>
      </c>
      <c r="B194">
        <v>2018</v>
      </c>
      <c r="C194" t="s">
        <v>38</v>
      </c>
      <c r="D194" s="4">
        <v>137.4</v>
      </c>
      <c r="E194" s="4">
        <v>145.69999999999999</v>
      </c>
      <c r="F194" s="4">
        <v>135.5</v>
      </c>
      <c r="G194" s="4">
        <v>142.9</v>
      </c>
      <c r="H194" s="4">
        <v>123.6</v>
      </c>
      <c r="I194" s="4">
        <v>157.5</v>
      </c>
      <c r="J194" s="4">
        <v>137.80000000000001</v>
      </c>
      <c r="K194" s="4">
        <v>127.2</v>
      </c>
      <c r="L194" s="4">
        <v>111.8</v>
      </c>
      <c r="M194" s="4">
        <v>137.4</v>
      </c>
      <c r="N194" s="4">
        <v>132.19999999999999</v>
      </c>
      <c r="O194" s="4">
        <v>154.30000000000001</v>
      </c>
      <c r="P194" s="4">
        <v>139.1</v>
      </c>
      <c r="Q194" s="4">
        <v>157</v>
      </c>
      <c r="R194" s="4">
        <v>150.80000000000001</v>
      </c>
      <c r="S194" s="4">
        <v>144.1</v>
      </c>
      <c r="T194" s="4">
        <v>149.80000000000001</v>
      </c>
      <c r="U194" s="4">
        <v>143.19999999999999</v>
      </c>
      <c r="V194" s="4">
        <v>144.30000000000001</v>
      </c>
      <c r="W194" s="4">
        <v>141.80000000000001</v>
      </c>
      <c r="X194" s="4">
        <v>138.4</v>
      </c>
      <c r="Y194" s="4">
        <v>126.4</v>
      </c>
      <c r="Z194" s="4">
        <v>136.80000000000001</v>
      </c>
      <c r="AA194" s="4">
        <v>144.4</v>
      </c>
      <c r="AB194" s="4">
        <v>131.19999999999999</v>
      </c>
      <c r="AC194" s="4">
        <v>135.1</v>
      </c>
      <c r="AD194" s="4">
        <v>139.80000000000001</v>
      </c>
    </row>
    <row r="195" spans="1:30" hidden="1" x14ac:dyDescent="0.3">
      <c r="A195" t="s">
        <v>33</v>
      </c>
      <c r="B195">
        <v>2018</v>
      </c>
      <c r="C195" t="s">
        <v>38</v>
      </c>
      <c r="D195" s="4">
        <v>135</v>
      </c>
      <c r="E195" s="4">
        <v>148.19999999999999</v>
      </c>
      <c r="F195" s="4">
        <v>130.5</v>
      </c>
      <c r="G195" s="4">
        <v>140.69999999999999</v>
      </c>
      <c r="H195" s="4">
        <v>116.4</v>
      </c>
      <c r="I195" s="4">
        <v>151.30000000000001</v>
      </c>
      <c r="J195" s="4">
        <v>131.4</v>
      </c>
      <c r="K195" s="4">
        <v>112.8</v>
      </c>
      <c r="L195" s="4">
        <v>105.3</v>
      </c>
      <c r="M195" s="4">
        <v>139.6</v>
      </c>
      <c r="N195" s="4">
        <v>126.6</v>
      </c>
      <c r="O195" s="4">
        <v>148.69999999999999</v>
      </c>
      <c r="P195" s="4">
        <v>136.4</v>
      </c>
      <c r="Q195" s="4">
        <v>160.30000000000001</v>
      </c>
      <c r="R195" s="4">
        <v>138.6</v>
      </c>
      <c r="S195" s="4">
        <v>127.9</v>
      </c>
      <c r="T195" s="4">
        <v>137</v>
      </c>
      <c r="U195" s="4">
        <v>143.19999999999999</v>
      </c>
      <c r="V195" s="4">
        <v>124.7</v>
      </c>
      <c r="W195" s="4">
        <v>132.5</v>
      </c>
      <c r="X195" s="4">
        <v>132</v>
      </c>
      <c r="Y195" s="4">
        <v>119.8</v>
      </c>
      <c r="Z195" s="4">
        <v>128</v>
      </c>
      <c r="AA195" s="4">
        <v>140.4</v>
      </c>
      <c r="AB195" s="4">
        <v>128.1</v>
      </c>
      <c r="AC195" s="4">
        <v>128.9</v>
      </c>
      <c r="AD195" s="4">
        <v>135.4</v>
      </c>
    </row>
    <row r="196" spans="1:30" hidden="1" x14ac:dyDescent="0.3">
      <c r="A196" t="s">
        <v>34</v>
      </c>
      <c r="B196">
        <v>2018</v>
      </c>
      <c r="C196" t="s">
        <v>38</v>
      </c>
      <c r="D196" s="4">
        <v>136.6</v>
      </c>
      <c r="E196" s="4">
        <v>146.6</v>
      </c>
      <c r="F196" s="4">
        <v>133.6</v>
      </c>
      <c r="G196" s="4">
        <v>142.1</v>
      </c>
      <c r="H196" s="4">
        <v>121</v>
      </c>
      <c r="I196" s="4">
        <v>154.6</v>
      </c>
      <c r="J196" s="4">
        <v>135.6</v>
      </c>
      <c r="K196" s="4">
        <v>122.3</v>
      </c>
      <c r="L196" s="4">
        <v>109.6</v>
      </c>
      <c r="M196" s="4">
        <v>138.1</v>
      </c>
      <c r="N196" s="4">
        <v>129.9</v>
      </c>
      <c r="O196" s="4">
        <v>151.69999999999999</v>
      </c>
      <c r="P196" s="4">
        <v>138.1</v>
      </c>
      <c r="Q196" s="4">
        <v>157.9</v>
      </c>
      <c r="R196" s="4">
        <v>146</v>
      </c>
      <c r="S196" s="4">
        <v>137.4</v>
      </c>
      <c r="T196" s="4">
        <v>144.69999999999999</v>
      </c>
      <c r="U196" s="4">
        <v>143.19999999999999</v>
      </c>
      <c r="V196" s="4">
        <v>136.9</v>
      </c>
      <c r="W196" s="4">
        <v>137.4</v>
      </c>
      <c r="X196" s="4">
        <v>136</v>
      </c>
      <c r="Y196" s="4">
        <v>122.9</v>
      </c>
      <c r="Z196" s="4">
        <v>131.80000000000001</v>
      </c>
      <c r="AA196" s="4">
        <v>142.1</v>
      </c>
      <c r="AB196" s="4">
        <v>129.9</v>
      </c>
      <c r="AC196" s="4">
        <v>132.1</v>
      </c>
      <c r="AD196" s="4">
        <v>137.80000000000001</v>
      </c>
    </row>
    <row r="197" spans="1:30" hidden="1" x14ac:dyDescent="0.3">
      <c r="A197" t="s">
        <v>30</v>
      </c>
      <c r="B197">
        <v>2018</v>
      </c>
      <c r="C197" t="s">
        <v>39</v>
      </c>
      <c r="D197" s="4">
        <v>137.6</v>
      </c>
      <c r="E197" s="4">
        <v>148.1</v>
      </c>
      <c r="F197" s="4">
        <v>136.69999999999999</v>
      </c>
      <c r="G197" s="4">
        <v>143.19999999999999</v>
      </c>
      <c r="H197" s="4">
        <v>124</v>
      </c>
      <c r="I197" s="4">
        <v>154.1</v>
      </c>
      <c r="J197" s="4">
        <v>143.5</v>
      </c>
      <c r="K197" s="4">
        <v>126</v>
      </c>
      <c r="L197" s="4">
        <v>112.4</v>
      </c>
      <c r="M197" s="4">
        <v>137.6</v>
      </c>
      <c r="N197" s="4">
        <v>132.80000000000001</v>
      </c>
      <c r="O197" s="4">
        <v>154.30000000000001</v>
      </c>
      <c r="P197" s="4">
        <v>140</v>
      </c>
      <c r="Q197" s="4">
        <v>157.30000000000001</v>
      </c>
      <c r="R197" s="4">
        <v>151.30000000000001</v>
      </c>
      <c r="S197" s="4">
        <v>144.69999999999999</v>
      </c>
      <c r="T197" s="4">
        <v>150.30000000000001</v>
      </c>
      <c r="U197" s="4">
        <v>142.5</v>
      </c>
      <c r="V197" s="4">
        <v>145.1</v>
      </c>
      <c r="W197" s="4">
        <v>142.19999999999999</v>
      </c>
      <c r="X197" s="4">
        <v>138.4</v>
      </c>
      <c r="Y197" s="4">
        <v>127.4</v>
      </c>
      <c r="Z197" s="4">
        <v>137.80000000000001</v>
      </c>
      <c r="AA197" s="4">
        <v>145.1</v>
      </c>
      <c r="AB197" s="4">
        <v>131.4</v>
      </c>
      <c r="AC197" s="4">
        <v>135.6</v>
      </c>
      <c r="AD197" s="4">
        <v>140.5</v>
      </c>
    </row>
    <row r="198" spans="1:30" hidden="1" x14ac:dyDescent="0.3">
      <c r="A198" t="s">
        <v>33</v>
      </c>
      <c r="B198">
        <v>2018</v>
      </c>
      <c r="C198" t="s">
        <v>39</v>
      </c>
      <c r="D198" s="4">
        <v>135.30000000000001</v>
      </c>
      <c r="E198" s="4">
        <v>149.69999999999999</v>
      </c>
      <c r="F198" s="4">
        <v>133.9</v>
      </c>
      <c r="G198" s="4">
        <v>140.80000000000001</v>
      </c>
      <c r="H198" s="4">
        <v>116.6</v>
      </c>
      <c r="I198" s="4">
        <v>152.19999999999999</v>
      </c>
      <c r="J198" s="4">
        <v>144</v>
      </c>
      <c r="K198" s="4">
        <v>112.3</v>
      </c>
      <c r="L198" s="4">
        <v>108.4</v>
      </c>
      <c r="M198" s="4">
        <v>140</v>
      </c>
      <c r="N198" s="4">
        <v>126.7</v>
      </c>
      <c r="O198" s="4">
        <v>149</v>
      </c>
      <c r="P198" s="4">
        <v>138.4</v>
      </c>
      <c r="Q198" s="4">
        <v>161</v>
      </c>
      <c r="R198" s="4">
        <v>138.9</v>
      </c>
      <c r="S198" s="4">
        <v>128.69999999999999</v>
      </c>
      <c r="T198" s="4">
        <v>137.4</v>
      </c>
      <c r="U198" s="4">
        <v>142.5</v>
      </c>
      <c r="V198" s="4">
        <v>126.5</v>
      </c>
      <c r="W198" s="4">
        <v>133.1</v>
      </c>
      <c r="X198" s="4">
        <v>132.6</v>
      </c>
      <c r="Y198" s="4">
        <v>120.4</v>
      </c>
      <c r="Z198" s="4">
        <v>128.5</v>
      </c>
      <c r="AA198" s="4">
        <v>141.19999999999999</v>
      </c>
      <c r="AB198" s="4">
        <v>128.19999999999999</v>
      </c>
      <c r="AC198" s="4">
        <v>129.5</v>
      </c>
      <c r="AD198" s="4">
        <v>136.19999999999999</v>
      </c>
    </row>
    <row r="199" spans="1:30" hidden="1" x14ac:dyDescent="0.3">
      <c r="A199" t="s">
        <v>34</v>
      </c>
      <c r="B199">
        <v>2018</v>
      </c>
      <c r="C199" t="s">
        <v>39</v>
      </c>
      <c r="D199" s="4">
        <v>136.9</v>
      </c>
      <c r="E199" s="4">
        <v>148.69999999999999</v>
      </c>
      <c r="F199" s="4">
        <v>135.6</v>
      </c>
      <c r="G199" s="4">
        <v>142.30000000000001</v>
      </c>
      <c r="H199" s="4">
        <v>121.3</v>
      </c>
      <c r="I199" s="4">
        <v>153.19999999999999</v>
      </c>
      <c r="J199" s="4">
        <v>143.69999999999999</v>
      </c>
      <c r="K199" s="4">
        <v>121.4</v>
      </c>
      <c r="L199" s="4">
        <v>111.1</v>
      </c>
      <c r="M199" s="4">
        <v>138.4</v>
      </c>
      <c r="N199" s="4">
        <v>130.30000000000001</v>
      </c>
      <c r="O199" s="4">
        <v>151.80000000000001</v>
      </c>
      <c r="P199" s="4">
        <v>139.4</v>
      </c>
      <c r="Q199" s="4">
        <v>158.30000000000001</v>
      </c>
      <c r="R199" s="4">
        <v>146.4</v>
      </c>
      <c r="S199" s="4">
        <v>138.1</v>
      </c>
      <c r="T199" s="4">
        <v>145.19999999999999</v>
      </c>
      <c r="U199" s="4">
        <v>142.5</v>
      </c>
      <c r="V199" s="4">
        <v>138.1</v>
      </c>
      <c r="W199" s="4">
        <v>137.9</v>
      </c>
      <c r="X199" s="4">
        <v>136.19999999999999</v>
      </c>
      <c r="Y199" s="4">
        <v>123.7</v>
      </c>
      <c r="Z199" s="4">
        <v>132.6</v>
      </c>
      <c r="AA199" s="4">
        <v>142.80000000000001</v>
      </c>
      <c r="AB199" s="4">
        <v>130.1</v>
      </c>
      <c r="AC199" s="4">
        <v>132.6</v>
      </c>
      <c r="AD199" s="4">
        <v>138.5</v>
      </c>
    </row>
    <row r="200" spans="1:30" hidden="1" x14ac:dyDescent="0.3">
      <c r="A200" t="s">
        <v>30</v>
      </c>
      <c r="B200">
        <v>2018</v>
      </c>
      <c r="C200" t="s">
        <v>40</v>
      </c>
      <c r="D200" s="4">
        <v>138.4</v>
      </c>
      <c r="E200" s="4">
        <v>149.30000000000001</v>
      </c>
      <c r="F200" s="4">
        <v>139.30000000000001</v>
      </c>
      <c r="G200" s="4">
        <v>143.4</v>
      </c>
      <c r="H200" s="4">
        <v>124.1</v>
      </c>
      <c r="I200" s="4">
        <v>153.30000000000001</v>
      </c>
      <c r="J200" s="4">
        <v>154.19999999999999</v>
      </c>
      <c r="K200" s="4">
        <v>126.4</v>
      </c>
      <c r="L200" s="4">
        <v>114.3</v>
      </c>
      <c r="M200" s="4">
        <v>138.19999999999999</v>
      </c>
      <c r="N200" s="4">
        <v>132.80000000000001</v>
      </c>
      <c r="O200" s="4">
        <v>154.80000000000001</v>
      </c>
      <c r="P200" s="4">
        <v>142</v>
      </c>
      <c r="Q200" s="4">
        <v>156.1</v>
      </c>
      <c r="R200" s="4">
        <v>151.5</v>
      </c>
      <c r="S200" s="4">
        <v>145.1</v>
      </c>
      <c r="T200" s="4">
        <v>150.6</v>
      </c>
      <c r="U200" s="4">
        <v>143.6</v>
      </c>
      <c r="V200" s="4">
        <v>146.80000000000001</v>
      </c>
      <c r="W200" s="4">
        <v>143.1</v>
      </c>
      <c r="X200" s="4">
        <v>139</v>
      </c>
      <c r="Y200" s="4">
        <v>127.5</v>
      </c>
      <c r="Z200" s="4">
        <v>138.4</v>
      </c>
      <c r="AA200" s="4">
        <v>145.80000000000001</v>
      </c>
      <c r="AB200" s="4">
        <v>131.4</v>
      </c>
      <c r="AC200" s="4">
        <v>136</v>
      </c>
      <c r="AD200" s="4">
        <v>141.80000000000001</v>
      </c>
    </row>
    <row r="201" spans="1:30" hidden="1" x14ac:dyDescent="0.3">
      <c r="A201" t="s">
        <v>33</v>
      </c>
      <c r="B201">
        <v>2018</v>
      </c>
      <c r="C201" t="s">
        <v>40</v>
      </c>
      <c r="D201" s="4">
        <v>135.6</v>
      </c>
      <c r="E201" s="4">
        <v>148.6</v>
      </c>
      <c r="F201" s="4">
        <v>139.1</v>
      </c>
      <c r="G201" s="4">
        <v>141</v>
      </c>
      <c r="H201" s="4">
        <v>116.7</v>
      </c>
      <c r="I201" s="4">
        <v>149.69999999999999</v>
      </c>
      <c r="J201" s="4">
        <v>159.19999999999999</v>
      </c>
      <c r="K201" s="4">
        <v>112.6</v>
      </c>
      <c r="L201" s="4">
        <v>111.8</v>
      </c>
      <c r="M201" s="4">
        <v>140.30000000000001</v>
      </c>
      <c r="N201" s="4">
        <v>126.8</v>
      </c>
      <c r="O201" s="4">
        <v>149.4</v>
      </c>
      <c r="P201" s="4">
        <v>140.30000000000001</v>
      </c>
      <c r="Q201" s="4">
        <v>161.4</v>
      </c>
      <c r="R201" s="4">
        <v>139.6</v>
      </c>
      <c r="S201" s="4">
        <v>128.9</v>
      </c>
      <c r="T201" s="4">
        <v>137.9</v>
      </c>
      <c r="U201" s="4">
        <v>143.6</v>
      </c>
      <c r="V201" s="4">
        <v>128.1</v>
      </c>
      <c r="W201" s="4">
        <v>133.6</v>
      </c>
      <c r="X201" s="4">
        <v>133.6</v>
      </c>
      <c r="Y201" s="4">
        <v>120.1</v>
      </c>
      <c r="Z201" s="4">
        <v>129</v>
      </c>
      <c r="AA201" s="4">
        <v>144</v>
      </c>
      <c r="AB201" s="4">
        <v>128.19999999999999</v>
      </c>
      <c r="AC201" s="4">
        <v>130.19999999999999</v>
      </c>
      <c r="AD201" s="4">
        <v>137.5</v>
      </c>
    </row>
    <row r="202" spans="1:30" hidden="1" x14ac:dyDescent="0.3">
      <c r="A202" t="s">
        <v>34</v>
      </c>
      <c r="B202">
        <v>2018</v>
      </c>
      <c r="C202" t="s">
        <v>40</v>
      </c>
      <c r="D202" s="4">
        <v>137.5</v>
      </c>
      <c r="E202" s="4">
        <v>149.1</v>
      </c>
      <c r="F202" s="4">
        <v>139.19999999999999</v>
      </c>
      <c r="G202" s="4">
        <v>142.5</v>
      </c>
      <c r="H202" s="4">
        <v>121.4</v>
      </c>
      <c r="I202" s="4">
        <v>151.6</v>
      </c>
      <c r="J202" s="4">
        <v>155.9</v>
      </c>
      <c r="K202" s="4">
        <v>121.7</v>
      </c>
      <c r="L202" s="4">
        <v>113.5</v>
      </c>
      <c r="M202" s="4">
        <v>138.9</v>
      </c>
      <c r="N202" s="4">
        <v>130.30000000000001</v>
      </c>
      <c r="O202" s="4">
        <v>152.30000000000001</v>
      </c>
      <c r="P202" s="4">
        <v>141.4</v>
      </c>
      <c r="Q202" s="4">
        <v>157.5</v>
      </c>
      <c r="R202" s="4">
        <v>146.80000000000001</v>
      </c>
      <c r="S202" s="4">
        <v>138.4</v>
      </c>
      <c r="T202" s="4">
        <v>145.6</v>
      </c>
      <c r="U202" s="4">
        <v>143.6</v>
      </c>
      <c r="V202" s="4">
        <v>139.69999999999999</v>
      </c>
      <c r="W202" s="4">
        <v>138.6</v>
      </c>
      <c r="X202" s="4">
        <v>137</v>
      </c>
      <c r="Y202" s="4">
        <v>123.6</v>
      </c>
      <c r="Z202" s="4">
        <v>133.1</v>
      </c>
      <c r="AA202" s="4">
        <v>144.69999999999999</v>
      </c>
      <c r="AB202" s="4">
        <v>130.1</v>
      </c>
      <c r="AC202" s="4">
        <v>133.19999999999999</v>
      </c>
      <c r="AD202" s="4">
        <v>139.80000000000001</v>
      </c>
    </row>
    <row r="203" spans="1:30" hidden="1" x14ac:dyDescent="0.3">
      <c r="A203" t="s">
        <v>30</v>
      </c>
      <c r="B203">
        <v>2018</v>
      </c>
      <c r="C203" t="s">
        <v>41</v>
      </c>
      <c r="D203" s="4">
        <v>139.19999999999999</v>
      </c>
      <c r="E203" s="4">
        <v>148.80000000000001</v>
      </c>
      <c r="F203" s="4">
        <v>139.1</v>
      </c>
      <c r="G203" s="4">
        <v>143.5</v>
      </c>
      <c r="H203" s="4">
        <v>125</v>
      </c>
      <c r="I203" s="4">
        <v>154.4</v>
      </c>
      <c r="J203" s="4">
        <v>156.30000000000001</v>
      </c>
      <c r="K203" s="4">
        <v>126.8</v>
      </c>
      <c r="L203" s="4">
        <v>115.4</v>
      </c>
      <c r="M203" s="4">
        <v>138.6</v>
      </c>
      <c r="N203" s="4">
        <v>133.80000000000001</v>
      </c>
      <c r="O203" s="4">
        <v>155.19999999999999</v>
      </c>
      <c r="P203" s="4">
        <v>142.69999999999999</v>
      </c>
      <c r="Q203" s="4">
        <v>156.4</v>
      </c>
      <c r="R203" s="4">
        <v>152.1</v>
      </c>
      <c r="S203" s="4">
        <v>145.80000000000001</v>
      </c>
      <c r="T203" s="4">
        <v>151.30000000000001</v>
      </c>
      <c r="U203" s="4">
        <v>144.6</v>
      </c>
      <c r="V203" s="4">
        <v>147.69999999999999</v>
      </c>
      <c r="W203" s="4">
        <v>143.80000000000001</v>
      </c>
      <c r="X203" s="4">
        <v>139.4</v>
      </c>
      <c r="Y203" s="4">
        <v>128.30000000000001</v>
      </c>
      <c r="Z203" s="4">
        <v>138.6</v>
      </c>
      <c r="AA203" s="4">
        <v>146.9</v>
      </c>
      <c r="AB203" s="4">
        <v>131.30000000000001</v>
      </c>
      <c r="AC203" s="4">
        <v>136.6</v>
      </c>
      <c r="AD203" s="4">
        <v>142.5</v>
      </c>
    </row>
    <row r="204" spans="1:30" hidden="1" x14ac:dyDescent="0.3">
      <c r="A204" t="s">
        <v>33</v>
      </c>
      <c r="B204">
        <v>2018</v>
      </c>
      <c r="C204" t="s">
        <v>41</v>
      </c>
      <c r="D204" s="4">
        <v>136.5</v>
      </c>
      <c r="E204" s="4">
        <v>146.4</v>
      </c>
      <c r="F204" s="4">
        <v>136.6</v>
      </c>
      <c r="G204" s="4">
        <v>141.19999999999999</v>
      </c>
      <c r="H204" s="4">
        <v>117.4</v>
      </c>
      <c r="I204" s="4">
        <v>146.30000000000001</v>
      </c>
      <c r="J204" s="4">
        <v>157.30000000000001</v>
      </c>
      <c r="K204" s="4">
        <v>113.6</v>
      </c>
      <c r="L204" s="4">
        <v>113.3</v>
      </c>
      <c r="M204" s="4">
        <v>141.1</v>
      </c>
      <c r="N204" s="4">
        <v>127.4</v>
      </c>
      <c r="O204" s="4">
        <v>150.4</v>
      </c>
      <c r="P204" s="4">
        <v>140.1</v>
      </c>
      <c r="Q204" s="4">
        <v>162.1</v>
      </c>
      <c r="R204" s="4">
        <v>140</v>
      </c>
      <c r="S204" s="4">
        <v>129</v>
      </c>
      <c r="T204" s="4">
        <v>138.30000000000001</v>
      </c>
      <c r="U204" s="4">
        <v>144.6</v>
      </c>
      <c r="V204" s="4">
        <v>129.80000000000001</v>
      </c>
      <c r="W204" s="4">
        <v>134.4</v>
      </c>
      <c r="X204" s="4">
        <v>134.9</v>
      </c>
      <c r="Y204" s="4">
        <v>120.7</v>
      </c>
      <c r="Z204" s="4">
        <v>129.80000000000001</v>
      </c>
      <c r="AA204" s="4">
        <v>145.30000000000001</v>
      </c>
      <c r="AB204" s="4">
        <v>128.30000000000001</v>
      </c>
      <c r="AC204" s="4">
        <v>131</v>
      </c>
      <c r="AD204" s="4">
        <v>138</v>
      </c>
    </row>
    <row r="205" spans="1:30" hidden="1" x14ac:dyDescent="0.3">
      <c r="A205" t="s">
        <v>34</v>
      </c>
      <c r="B205">
        <v>2018</v>
      </c>
      <c r="C205" t="s">
        <v>41</v>
      </c>
      <c r="D205" s="4">
        <v>138.30000000000001</v>
      </c>
      <c r="E205" s="4">
        <v>148</v>
      </c>
      <c r="F205" s="4">
        <v>138.1</v>
      </c>
      <c r="G205" s="4">
        <v>142.6</v>
      </c>
      <c r="H205" s="4">
        <v>122.2</v>
      </c>
      <c r="I205" s="4">
        <v>150.6</v>
      </c>
      <c r="J205" s="4">
        <v>156.6</v>
      </c>
      <c r="K205" s="4">
        <v>122.4</v>
      </c>
      <c r="L205" s="4">
        <v>114.7</v>
      </c>
      <c r="M205" s="4">
        <v>139.4</v>
      </c>
      <c r="N205" s="4">
        <v>131.1</v>
      </c>
      <c r="O205" s="4">
        <v>153</v>
      </c>
      <c r="P205" s="4">
        <v>141.69999999999999</v>
      </c>
      <c r="Q205" s="4">
        <v>157.9</v>
      </c>
      <c r="R205" s="4">
        <v>147.30000000000001</v>
      </c>
      <c r="S205" s="4">
        <v>138.80000000000001</v>
      </c>
      <c r="T205" s="4">
        <v>146.1</v>
      </c>
      <c r="U205" s="4">
        <v>144.6</v>
      </c>
      <c r="V205" s="4">
        <v>140.9</v>
      </c>
      <c r="W205" s="4">
        <v>139.4</v>
      </c>
      <c r="X205" s="4">
        <v>137.69999999999999</v>
      </c>
      <c r="Y205" s="4">
        <v>124.3</v>
      </c>
      <c r="Z205" s="4">
        <v>133.6</v>
      </c>
      <c r="AA205" s="4">
        <v>146</v>
      </c>
      <c r="AB205" s="4">
        <v>130.1</v>
      </c>
      <c r="AC205" s="4">
        <v>133.9</v>
      </c>
      <c r="AD205" s="4">
        <v>140.4</v>
      </c>
    </row>
    <row r="206" spans="1:30" hidden="1" x14ac:dyDescent="0.3">
      <c r="A206" t="s">
        <v>30</v>
      </c>
      <c r="B206">
        <v>2018</v>
      </c>
      <c r="C206" t="s">
        <v>42</v>
      </c>
      <c r="D206" s="4">
        <v>139.4</v>
      </c>
      <c r="E206" s="4">
        <v>147.19999999999999</v>
      </c>
      <c r="F206" s="4">
        <v>136.6</v>
      </c>
      <c r="G206" s="4">
        <v>143.69999999999999</v>
      </c>
      <c r="H206" s="4">
        <v>124.6</v>
      </c>
      <c r="I206" s="4">
        <v>150.1</v>
      </c>
      <c r="J206" s="4">
        <v>149.4</v>
      </c>
      <c r="K206" s="4">
        <v>125.4</v>
      </c>
      <c r="L206" s="4">
        <v>114.4</v>
      </c>
      <c r="M206" s="4">
        <v>138.69999999999999</v>
      </c>
      <c r="N206" s="4">
        <v>133.1</v>
      </c>
      <c r="O206" s="4">
        <v>155.9</v>
      </c>
      <c r="P206" s="4">
        <v>141.30000000000001</v>
      </c>
      <c r="Q206" s="4">
        <v>157.69999999999999</v>
      </c>
      <c r="R206" s="4">
        <v>152.1</v>
      </c>
      <c r="S206" s="4">
        <v>146.1</v>
      </c>
      <c r="T206" s="4">
        <v>151.30000000000001</v>
      </c>
      <c r="U206" s="4">
        <v>145.30000000000001</v>
      </c>
      <c r="V206" s="4">
        <v>149</v>
      </c>
      <c r="W206" s="4">
        <v>144</v>
      </c>
      <c r="X206" s="4">
        <v>140</v>
      </c>
      <c r="Y206" s="4">
        <v>129.9</v>
      </c>
      <c r="Z206" s="4">
        <v>140</v>
      </c>
      <c r="AA206" s="4">
        <v>147.6</v>
      </c>
      <c r="AB206" s="4">
        <v>132</v>
      </c>
      <c r="AC206" s="4">
        <v>137.4</v>
      </c>
      <c r="AD206" s="4">
        <v>142.1</v>
      </c>
    </row>
    <row r="207" spans="1:30" hidden="1" x14ac:dyDescent="0.3">
      <c r="A207" t="s">
        <v>33</v>
      </c>
      <c r="B207">
        <v>2018</v>
      </c>
      <c r="C207" t="s">
        <v>42</v>
      </c>
      <c r="D207" s="4">
        <v>137</v>
      </c>
      <c r="E207" s="4">
        <v>143.1</v>
      </c>
      <c r="F207" s="4">
        <v>132.80000000000001</v>
      </c>
      <c r="G207" s="4">
        <v>141.5</v>
      </c>
      <c r="H207" s="4">
        <v>117.8</v>
      </c>
      <c r="I207" s="4">
        <v>140</v>
      </c>
      <c r="J207" s="4">
        <v>151.30000000000001</v>
      </c>
      <c r="K207" s="4">
        <v>113.5</v>
      </c>
      <c r="L207" s="4">
        <v>112.3</v>
      </c>
      <c r="M207" s="4">
        <v>141.19999999999999</v>
      </c>
      <c r="N207" s="4">
        <v>127.7</v>
      </c>
      <c r="O207" s="4">
        <v>151.30000000000001</v>
      </c>
      <c r="P207" s="4">
        <v>138.9</v>
      </c>
      <c r="Q207" s="4">
        <v>163.30000000000001</v>
      </c>
      <c r="R207" s="4">
        <v>140.80000000000001</v>
      </c>
      <c r="S207" s="4">
        <v>129.30000000000001</v>
      </c>
      <c r="T207" s="4">
        <v>139.1</v>
      </c>
      <c r="U207" s="4">
        <v>145.30000000000001</v>
      </c>
      <c r="V207" s="4">
        <v>131.19999999999999</v>
      </c>
      <c r="W207" s="4">
        <v>134.9</v>
      </c>
      <c r="X207" s="4">
        <v>135.69999999999999</v>
      </c>
      <c r="Y207" s="4">
        <v>122.5</v>
      </c>
      <c r="Z207" s="4">
        <v>130.19999999999999</v>
      </c>
      <c r="AA207" s="4">
        <v>145.19999999999999</v>
      </c>
      <c r="AB207" s="4">
        <v>129.30000000000001</v>
      </c>
      <c r="AC207" s="4">
        <v>131.9</v>
      </c>
      <c r="AD207" s="4">
        <v>138.1</v>
      </c>
    </row>
    <row r="208" spans="1:30" hidden="1" x14ac:dyDescent="0.3">
      <c r="A208" t="s">
        <v>34</v>
      </c>
      <c r="B208">
        <v>2018</v>
      </c>
      <c r="C208" t="s">
        <v>42</v>
      </c>
      <c r="D208" s="4">
        <v>138.6</v>
      </c>
      <c r="E208" s="4">
        <v>145.80000000000001</v>
      </c>
      <c r="F208" s="4">
        <v>135.1</v>
      </c>
      <c r="G208" s="4">
        <v>142.9</v>
      </c>
      <c r="H208" s="4">
        <v>122.1</v>
      </c>
      <c r="I208" s="4">
        <v>145.4</v>
      </c>
      <c r="J208" s="4">
        <v>150</v>
      </c>
      <c r="K208" s="4">
        <v>121.4</v>
      </c>
      <c r="L208" s="4">
        <v>113.7</v>
      </c>
      <c r="M208" s="4">
        <v>139.5</v>
      </c>
      <c r="N208" s="4">
        <v>130.80000000000001</v>
      </c>
      <c r="O208" s="4">
        <v>153.80000000000001</v>
      </c>
      <c r="P208" s="4">
        <v>140.4</v>
      </c>
      <c r="Q208" s="4">
        <v>159.19999999999999</v>
      </c>
      <c r="R208" s="4">
        <v>147.69999999999999</v>
      </c>
      <c r="S208" s="4">
        <v>139.1</v>
      </c>
      <c r="T208" s="4">
        <v>146.5</v>
      </c>
      <c r="U208" s="4">
        <v>145.30000000000001</v>
      </c>
      <c r="V208" s="4">
        <v>142.30000000000001</v>
      </c>
      <c r="W208" s="4">
        <v>139.69999999999999</v>
      </c>
      <c r="X208" s="4">
        <v>138.4</v>
      </c>
      <c r="Y208" s="4">
        <v>126</v>
      </c>
      <c r="Z208" s="4">
        <v>134.5</v>
      </c>
      <c r="AA208" s="4">
        <v>146.19999999999999</v>
      </c>
      <c r="AB208" s="4">
        <v>130.9</v>
      </c>
      <c r="AC208" s="4">
        <v>134.69999999999999</v>
      </c>
      <c r="AD208" s="4">
        <v>140.19999999999999</v>
      </c>
    </row>
    <row r="209" spans="1:30" hidden="1" x14ac:dyDescent="0.3">
      <c r="A209" t="s">
        <v>30</v>
      </c>
      <c r="B209">
        <v>2018</v>
      </c>
      <c r="C209" t="s">
        <v>43</v>
      </c>
      <c r="D209" s="4">
        <v>139.30000000000001</v>
      </c>
      <c r="E209" s="4">
        <v>147.6</v>
      </c>
      <c r="F209" s="4">
        <v>134.6</v>
      </c>
      <c r="G209" s="4">
        <v>141.9</v>
      </c>
      <c r="H209" s="4">
        <v>123.5</v>
      </c>
      <c r="I209" s="4">
        <v>144.5</v>
      </c>
      <c r="J209" s="4">
        <v>147.6</v>
      </c>
      <c r="K209" s="4">
        <v>121.4</v>
      </c>
      <c r="L209" s="4">
        <v>112.3</v>
      </c>
      <c r="M209" s="4">
        <v>139.5</v>
      </c>
      <c r="N209" s="4">
        <v>134.6</v>
      </c>
      <c r="O209" s="4">
        <v>155.19999999999999</v>
      </c>
      <c r="P209" s="4">
        <v>140.19999999999999</v>
      </c>
      <c r="Q209" s="4">
        <v>159.6</v>
      </c>
      <c r="R209" s="4">
        <v>150.69999999999999</v>
      </c>
      <c r="S209" s="4">
        <v>144.5</v>
      </c>
      <c r="T209" s="4">
        <v>149.80000000000001</v>
      </c>
      <c r="U209" s="4">
        <v>146.30000000000001</v>
      </c>
      <c r="V209" s="4">
        <v>149.69999999999999</v>
      </c>
      <c r="W209" s="4">
        <v>147.5</v>
      </c>
      <c r="X209" s="4">
        <v>144.80000000000001</v>
      </c>
      <c r="Y209" s="4">
        <v>130.80000000000001</v>
      </c>
      <c r="Z209" s="4">
        <v>140.1</v>
      </c>
      <c r="AA209" s="4">
        <v>148</v>
      </c>
      <c r="AB209" s="4">
        <v>134.4</v>
      </c>
      <c r="AC209" s="4">
        <v>139.80000000000001</v>
      </c>
      <c r="AD209" s="4">
        <v>142.19999999999999</v>
      </c>
    </row>
    <row r="210" spans="1:30" hidden="1" x14ac:dyDescent="0.3">
      <c r="A210" t="s">
        <v>33</v>
      </c>
      <c r="B210">
        <v>2018</v>
      </c>
      <c r="C210" t="s">
        <v>43</v>
      </c>
      <c r="D210" s="4">
        <v>137.6</v>
      </c>
      <c r="E210" s="4">
        <v>144.9</v>
      </c>
      <c r="F210" s="4">
        <v>133.5</v>
      </c>
      <c r="G210" s="4">
        <v>141.5</v>
      </c>
      <c r="H210" s="4">
        <v>118</v>
      </c>
      <c r="I210" s="4">
        <v>139.5</v>
      </c>
      <c r="J210" s="4">
        <v>153</v>
      </c>
      <c r="K210" s="4">
        <v>113.2</v>
      </c>
      <c r="L210" s="4">
        <v>112.8</v>
      </c>
      <c r="M210" s="4">
        <v>141.1</v>
      </c>
      <c r="N210" s="4">
        <v>127.6</v>
      </c>
      <c r="O210" s="4">
        <v>152</v>
      </c>
      <c r="P210" s="4">
        <v>139.4</v>
      </c>
      <c r="Q210" s="4">
        <v>164</v>
      </c>
      <c r="R210" s="4">
        <v>141.5</v>
      </c>
      <c r="S210" s="4">
        <v>129.80000000000001</v>
      </c>
      <c r="T210" s="4">
        <v>139.69999999999999</v>
      </c>
      <c r="U210" s="4">
        <v>146.60000000000002</v>
      </c>
      <c r="V210" s="4">
        <v>133.4</v>
      </c>
      <c r="W210" s="4">
        <v>135.1</v>
      </c>
      <c r="X210" s="4">
        <v>136.19999999999999</v>
      </c>
      <c r="Y210" s="4">
        <v>123.3</v>
      </c>
      <c r="Z210" s="4">
        <v>130.69999999999999</v>
      </c>
      <c r="AA210" s="4">
        <v>145.5</v>
      </c>
      <c r="AB210" s="4">
        <v>130.4</v>
      </c>
      <c r="AC210" s="4">
        <v>132.5</v>
      </c>
      <c r="AD210" s="4">
        <v>138.9</v>
      </c>
    </row>
    <row r="211" spans="1:30" hidden="1" x14ac:dyDescent="0.3">
      <c r="A211" t="s">
        <v>34</v>
      </c>
      <c r="B211">
        <v>2018</v>
      </c>
      <c r="C211" t="s">
        <v>43</v>
      </c>
      <c r="D211" s="4">
        <v>137.4</v>
      </c>
      <c r="E211" s="4">
        <v>149.5</v>
      </c>
      <c r="F211" s="4">
        <v>137.30000000000001</v>
      </c>
      <c r="G211" s="4">
        <v>141.9</v>
      </c>
      <c r="H211" s="4">
        <v>121.1</v>
      </c>
      <c r="I211" s="4">
        <v>142.5</v>
      </c>
      <c r="J211" s="4">
        <v>146.69999999999999</v>
      </c>
      <c r="K211" s="4">
        <v>119.1</v>
      </c>
      <c r="L211" s="4">
        <v>111.9</v>
      </c>
      <c r="M211" s="4">
        <v>141</v>
      </c>
      <c r="N211" s="4">
        <v>133.6</v>
      </c>
      <c r="O211" s="4">
        <v>154.5</v>
      </c>
      <c r="P211" s="4">
        <v>139.69999999999999</v>
      </c>
      <c r="Q211" s="4">
        <v>162.6</v>
      </c>
      <c r="R211" s="4">
        <v>148</v>
      </c>
      <c r="S211" s="4">
        <v>139.19999999999999</v>
      </c>
      <c r="T211" s="4">
        <v>146.80000000000001</v>
      </c>
      <c r="U211" s="4">
        <v>146.9</v>
      </c>
      <c r="V211" s="4">
        <v>145.30000000000001</v>
      </c>
      <c r="W211" s="4">
        <v>142.19999999999999</v>
      </c>
      <c r="X211" s="4">
        <v>142.1</v>
      </c>
      <c r="Y211" s="4">
        <v>125.5</v>
      </c>
      <c r="Z211" s="4">
        <v>136.5</v>
      </c>
      <c r="AA211" s="4">
        <v>147.80000000000001</v>
      </c>
      <c r="AB211" s="4">
        <v>132</v>
      </c>
      <c r="AC211" s="4">
        <v>136.30000000000001</v>
      </c>
      <c r="AD211" s="4">
        <v>140.80000000000001</v>
      </c>
    </row>
    <row r="212" spans="1:30" hidden="1" x14ac:dyDescent="0.3">
      <c r="A212" t="s">
        <v>30</v>
      </c>
      <c r="B212">
        <v>2018</v>
      </c>
      <c r="C212" t="s">
        <v>45</v>
      </c>
      <c r="D212" s="4">
        <v>137.1</v>
      </c>
      <c r="E212" s="4">
        <v>150.80000000000001</v>
      </c>
      <c r="F212" s="4">
        <v>136.69999999999999</v>
      </c>
      <c r="G212" s="4">
        <v>141.9</v>
      </c>
      <c r="H212" s="4">
        <v>122.8</v>
      </c>
      <c r="I212" s="4">
        <v>143.9</v>
      </c>
      <c r="J212" s="4">
        <v>147.5</v>
      </c>
      <c r="K212" s="4">
        <v>121</v>
      </c>
      <c r="L212" s="4">
        <v>111.6</v>
      </c>
      <c r="M212" s="4">
        <v>140.6</v>
      </c>
      <c r="N212" s="4">
        <v>137.5</v>
      </c>
      <c r="O212" s="4">
        <v>156.1</v>
      </c>
      <c r="P212" s="4">
        <v>140</v>
      </c>
      <c r="Q212" s="4">
        <v>161.9</v>
      </c>
      <c r="R212" s="4">
        <v>151.69999999999999</v>
      </c>
      <c r="S212" s="4">
        <v>145.5</v>
      </c>
      <c r="T212" s="4">
        <v>150.80000000000001</v>
      </c>
      <c r="U212" s="4">
        <v>146.9</v>
      </c>
      <c r="V212" s="4">
        <v>150.30000000000001</v>
      </c>
      <c r="W212" s="4">
        <v>148</v>
      </c>
      <c r="X212" s="4">
        <v>145.4</v>
      </c>
      <c r="Y212" s="4">
        <v>130.30000000000001</v>
      </c>
      <c r="Z212" s="4">
        <v>143.1</v>
      </c>
      <c r="AA212" s="4">
        <v>150.19999999999999</v>
      </c>
      <c r="AB212" s="4">
        <v>133.1</v>
      </c>
      <c r="AC212" s="4">
        <v>140.1</v>
      </c>
      <c r="AD212" s="4">
        <v>142.4</v>
      </c>
    </row>
    <row r="213" spans="1:30" hidden="1" x14ac:dyDescent="0.3">
      <c r="A213" t="s">
        <v>33</v>
      </c>
      <c r="B213">
        <v>2018</v>
      </c>
      <c r="C213" t="s">
        <v>45</v>
      </c>
      <c r="D213" s="4">
        <v>138.1</v>
      </c>
      <c r="E213" s="4">
        <v>146.30000000000001</v>
      </c>
      <c r="F213" s="4">
        <v>137.80000000000001</v>
      </c>
      <c r="G213" s="4">
        <v>141.6</v>
      </c>
      <c r="H213" s="4">
        <v>118.1</v>
      </c>
      <c r="I213" s="4">
        <v>141.5</v>
      </c>
      <c r="J213" s="4">
        <v>145.19999999999999</v>
      </c>
      <c r="K213" s="4">
        <v>115.3</v>
      </c>
      <c r="L213" s="4">
        <v>112.5</v>
      </c>
      <c r="M213" s="4">
        <v>141.4</v>
      </c>
      <c r="N213" s="4">
        <v>128</v>
      </c>
      <c r="O213" s="4">
        <v>152.6</v>
      </c>
      <c r="P213" s="4">
        <v>139.1</v>
      </c>
      <c r="Q213" s="4">
        <v>164.4</v>
      </c>
      <c r="R213" s="4">
        <v>142.4</v>
      </c>
      <c r="S213" s="4">
        <v>130.19999999999999</v>
      </c>
      <c r="T213" s="4">
        <v>140.5</v>
      </c>
      <c r="U213" s="4">
        <v>146.9</v>
      </c>
      <c r="V213" s="4">
        <v>136.69999999999999</v>
      </c>
      <c r="W213" s="4">
        <v>135.80000000000001</v>
      </c>
      <c r="X213" s="4">
        <v>136.80000000000001</v>
      </c>
      <c r="Y213" s="4">
        <v>121.2</v>
      </c>
      <c r="Z213" s="4">
        <v>131.30000000000001</v>
      </c>
      <c r="AA213" s="4">
        <v>146.1</v>
      </c>
      <c r="AB213" s="4">
        <v>130.5</v>
      </c>
      <c r="AC213" s="4">
        <v>132.19999999999999</v>
      </c>
      <c r="AD213" s="4">
        <v>139</v>
      </c>
    </row>
    <row r="214" spans="1:30" hidden="1" x14ac:dyDescent="0.3">
      <c r="A214" t="s">
        <v>34</v>
      </c>
      <c r="B214">
        <v>2018</v>
      </c>
      <c r="C214" t="s">
        <v>45</v>
      </c>
      <c r="D214" s="4">
        <v>137.4</v>
      </c>
      <c r="E214" s="4">
        <v>149.19999999999999</v>
      </c>
      <c r="F214" s="4">
        <v>137.1</v>
      </c>
      <c r="G214" s="4">
        <v>141.80000000000001</v>
      </c>
      <c r="H214" s="4">
        <v>121.1</v>
      </c>
      <c r="I214" s="4">
        <v>142.80000000000001</v>
      </c>
      <c r="J214" s="4">
        <v>146.69999999999999</v>
      </c>
      <c r="K214" s="4">
        <v>119.1</v>
      </c>
      <c r="L214" s="4">
        <v>111.9</v>
      </c>
      <c r="M214" s="4">
        <v>140.9</v>
      </c>
      <c r="N214" s="4">
        <v>133.5</v>
      </c>
      <c r="O214" s="4">
        <v>154.5</v>
      </c>
      <c r="P214" s="4">
        <v>139.69999999999999</v>
      </c>
      <c r="Q214" s="4">
        <v>162.6</v>
      </c>
      <c r="R214" s="4">
        <v>148</v>
      </c>
      <c r="S214" s="4">
        <v>139.1</v>
      </c>
      <c r="T214" s="4">
        <v>146.69999999999999</v>
      </c>
      <c r="U214" s="4">
        <v>146.9</v>
      </c>
      <c r="V214" s="4">
        <v>145.1</v>
      </c>
      <c r="W214" s="4">
        <v>142.19999999999999</v>
      </c>
      <c r="X214" s="4">
        <v>142.1</v>
      </c>
      <c r="Y214" s="4">
        <v>125.5</v>
      </c>
      <c r="Z214" s="4">
        <v>136.5</v>
      </c>
      <c r="AA214" s="4">
        <v>147.80000000000001</v>
      </c>
      <c r="AB214" s="4">
        <v>132</v>
      </c>
      <c r="AC214" s="4">
        <v>136.30000000000001</v>
      </c>
      <c r="AD214" s="4">
        <v>140.80000000000001</v>
      </c>
    </row>
    <row r="215" spans="1:30" hidden="1" x14ac:dyDescent="0.3">
      <c r="A215" t="s">
        <v>30</v>
      </c>
      <c r="B215">
        <v>2018</v>
      </c>
      <c r="C215" t="s">
        <v>46</v>
      </c>
      <c r="D215" s="4">
        <v>137.1</v>
      </c>
      <c r="E215" s="4">
        <v>151.9</v>
      </c>
      <c r="F215" s="4">
        <v>137.4</v>
      </c>
      <c r="G215" s="4">
        <v>142.4</v>
      </c>
      <c r="H215" s="4">
        <v>124.2</v>
      </c>
      <c r="I215" s="4">
        <v>140.19999999999999</v>
      </c>
      <c r="J215" s="4">
        <v>136.6</v>
      </c>
      <c r="K215" s="4">
        <v>120.9</v>
      </c>
      <c r="L215" s="4">
        <v>109.9</v>
      </c>
      <c r="M215" s="4">
        <v>140.19999999999999</v>
      </c>
      <c r="N215" s="4">
        <v>137.80000000000001</v>
      </c>
      <c r="O215" s="4">
        <v>156</v>
      </c>
      <c r="P215" s="4">
        <v>138.5</v>
      </c>
      <c r="Q215" s="4">
        <v>162.4</v>
      </c>
      <c r="R215" s="4">
        <v>151.6</v>
      </c>
      <c r="S215" s="4">
        <v>145.9</v>
      </c>
      <c r="T215" s="4">
        <v>150.80000000000001</v>
      </c>
      <c r="U215" s="4">
        <v>146.5</v>
      </c>
      <c r="V215" s="4">
        <v>149</v>
      </c>
      <c r="W215" s="4">
        <v>149.5</v>
      </c>
      <c r="X215" s="4">
        <v>149.6</v>
      </c>
      <c r="Y215" s="4">
        <v>128.9</v>
      </c>
      <c r="Z215" s="4">
        <v>143.30000000000001</v>
      </c>
      <c r="AA215" s="4">
        <v>155.1</v>
      </c>
      <c r="AB215" s="4">
        <v>133.19999999999999</v>
      </c>
      <c r="AC215" s="4">
        <v>141.6</v>
      </c>
      <c r="AD215" s="4">
        <v>141.9</v>
      </c>
    </row>
    <row r="216" spans="1:30" hidden="1" x14ac:dyDescent="0.3">
      <c r="A216" t="s">
        <v>33</v>
      </c>
      <c r="B216">
        <v>2018</v>
      </c>
      <c r="C216" t="s">
        <v>46</v>
      </c>
      <c r="D216" s="4">
        <v>138.5</v>
      </c>
      <c r="E216" s="4">
        <v>147.80000000000001</v>
      </c>
      <c r="F216" s="4">
        <v>141.1</v>
      </c>
      <c r="G216" s="4">
        <v>141.6</v>
      </c>
      <c r="H216" s="4">
        <v>118.1</v>
      </c>
      <c r="I216" s="4">
        <v>138.5</v>
      </c>
      <c r="J216" s="4">
        <v>132.4</v>
      </c>
      <c r="K216" s="4">
        <v>117.5</v>
      </c>
      <c r="L216" s="4">
        <v>111</v>
      </c>
      <c r="M216" s="4">
        <v>141.5</v>
      </c>
      <c r="N216" s="4">
        <v>128.1</v>
      </c>
      <c r="O216" s="4">
        <v>152.9</v>
      </c>
      <c r="P216" s="4">
        <v>137.6</v>
      </c>
      <c r="Q216" s="4">
        <v>164.6</v>
      </c>
      <c r="R216" s="4">
        <v>142.69999999999999</v>
      </c>
      <c r="S216" s="4">
        <v>130.30000000000001</v>
      </c>
      <c r="T216" s="4">
        <v>140.80000000000001</v>
      </c>
      <c r="U216" s="4">
        <v>146.5</v>
      </c>
      <c r="V216" s="4">
        <v>132.4</v>
      </c>
      <c r="W216" s="4">
        <v>136.19999999999999</v>
      </c>
      <c r="X216" s="4">
        <v>137.30000000000001</v>
      </c>
      <c r="Y216" s="4">
        <v>118.8</v>
      </c>
      <c r="Z216" s="4">
        <v>131.69999999999999</v>
      </c>
      <c r="AA216" s="4">
        <v>146.5</v>
      </c>
      <c r="AB216" s="4">
        <v>130.80000000000001</v>
      </c>
      <c r="AC216" s="4">
        <v>131.69999999999999</v>
      </c>
      <c r="AD216" s="4">
        <v>138</v>
      </c>
    </row>
    <row r="217" spans="1:30" hidden="1" x14ac:dyDescent="0.3">
      <c r="A217" t="s">
        <v>34</v>
      </c>
      <c r="B217">
        <v>2018</v>
      </c>
      <c r="C217" t="s">
        <v>46</v>
      </c>
      <c r="D217" s="4">
        <v>137.5</v>
      </c>
      <c r="E217" s="4">
        <v>150.5</v>
      </c>
      <c r="F217" s="4">
        <v>138.80000000000001</v>
      </c>
      <c r="G217" s="4">
        <v>142.1</v>
      </c>
      <c r="H217" s="4">
        <v>122</v>
      </c>
      <c r="I217" s="4">
        <v>139.4</v>
      </c>
      <c r="J217" s="4">
        <v>135.19999999999999</v>
      </c>
      <c r="K217" s="4">
        <v>119.8</v>
      </c>
      <c r="L217" s="4">
        <v>110.3</v>
      </c>
      <c r="M217" s="4">
        <v>140.6</v>
      </c>
      <c r="N217" s="4">
        <v>133.80000000000001</v>
      </c>
      <c r="O217" s="4">
        <v>154.6</v>
      </c>
      <c r="P217" s="4">
        <v>138.19999999999999</v>
      </c>
      <c r="Q217" s="4">
        <v>163</v>
      </c>
      <c r="R217" s="4">
        <v>148.1</v>
      </c>
      <c r="S217" s="4">
        <v>139.4</v>
      </c>
      <c r="T217" s="4">
        <v>146.80000000000001</v>
      </c>
      <c r="U217" s="4">
        <v>146.5</v>
      </c>
      <c r="V217" s="4">
        <v>142.69999999999999</v>
      </c>
      <c r="W217" s="4">
        <v>143.19999999999999</v>
      </c>
      <c r="X217" s="4">
        <v>144.9</v>
      </c>
      <c r="Y217" s="4">
        <v>123.6</v>
      </c>
      <c r="Z217" s="4">
        <v>136.80000000000001</v>
      </c>
      <c r="AA217" s="4">
        <v>150.1</v>
      </c>
      <c r="AB217" s="4">
        <v>132.19999999999999</v>
      </c>
      <c r="AC217" s="4">
        <v>136.80000000000001</v>
      </c>
      <c r="AD217" s="4">
        <v>140.1</v>
      </c>
    </row>
    <row r="218" spans="1:30" hidden="1" x14ac:dyDescent="0.3">
      <c r="A218" t="s">
        <v>30</v>
      </c>
      <c r="B218">
        <v>2019</v>
      </c>
      <c r="C218" t="s">
        <v>31</v>
      </c>
      <c r="D218" s="4">
        <v>136.6</v>
      </c>
      <c r="E218" s="4">
        <v>152.5</v>
      </c>
      <c r="F218" s="4">
        <v>138.19999999999999</v>
      </c>
      <c r="G218" s="4">
        <v>142.4</v>
      </c>
      <c r="H218" s="4">
        <v>123.9</v>
      </c>
      <c r="I218" s="4">
        <v>135.5</v>
      </c>
      <c r="J218" s="4">
        <v>131.69999999999999</v>
      </c>
      <c r="K218" s="4">
        <v>121.3</v>
      </c>
      <c r="L218" s="4">
        <v>108.4</v>
      </c>
      <c r="M218" s="4">
        <v>138.9</v>
      </c>
      <c r="N218" s="4">
        <v>137</v>
      </c>
      <c r="O218" s="4">
        <v>155.80000000000001</v>
      </c>
      <c r="P218" s="4">
        <v>137.4</v>
      </c>
      <c r="Q218" s="4">
        <v>162.69999999999999</v>
      </c>
      <c r="R218" s="4">
        <v>150.6</v>
      </c>
      <c r="S218" s="4">
        <v>145.1</v>
      </c>
      <c r="T218" s="4">
        <v>149.9</v>
      </c>
      <c r="U218" s="4">
        <v>147.69999999999999</v>
      </c>
      <c r="V218" s="4">
        <v>146.19999999999999</v>
      </c>
      <c r="W218" s="4">
        <v>150.1</v>
      </c>
      <c r="X218" s="4">
        <v>149.6</v>
      </c>
      <c r="Y218" s="4">
        <v>128.6</v>
      </c>
      <c r="Z218" s="4">
        <v>142.9</v>
      </c>
      <c r="AA218" s="4">
        <v>155.19999999999999</v>
      </c>
      <c r="AB218" s="4">
        <v>133.5</v>
      </c>
      <c r="AC218" s="4">
        <v>141.69999999999999</v>
      </c>
      <c r="AD218" s="4">
        <v>141</v>
      </c>
    </row>
    <row r="219" spans="1:30" hidden="1" x14ac:dyDescent="0.3">
      <c r="A219" t="s">
        <v>33</v>
      </c>
      <c r="B219">
        <v>2019</v>
      </c>
      <c r="C219" t="s">
        <v>31</v>
      </c>
      <c r="D219" s="4">
        <v>138.30000000000001</v>
      </c>
      <c r="E219" s="4">
        <v>149.4</v>
      </c>
      <c r="F219" s="4">
        <v>143.5</v>
      </c>
      <c r="G219" s="4">
        <v>141.69999999999999</v>
      </c>
      <c r="H219" s="4">
        <v>118.1</v>
      </c>
      <c r="I219" s="4">
        <v>135.19999999999999</v>
      </c>
      <c r="J219" s="4">
        <v>130.5</v>
      </c>
      <c r="K219" s="4">
        <v>118.2</v>
      </c>
      <c r="L219" s="4">
        <v>110.4</v>
      </c>
      <c r="M219" s="4">
        <v>140.4</v>
      </c>
      <c r="N219" s="4">
        <v>128.1</v>
      </c>
      <c r="O219" s="4">
        <v>153.19999999999999</v>
      </c>
      <c r="P219" s="4">
        <v>137.30000000000001</v>
      </c>
      <c r="Q219" s="4">
        <v>164.7</v>
      </c>
      <c r="R219" s="4">
        <v>143</v>
      </c>
      <c r="S219" s="4">
        <v>130.4</v>
      </c>
      <c r="T219" s="4">
        <v>141.1</v>
      </c>
      <c r="U219" s="4">
        <v>147.69999999999999</v>
      </c>
      <c r="V219" s="4">
        <v>128.6</v>
      </c>
      <c r="W219" s="4">
        <v>136.30000000000001</v>
      </c>
      <c r="X219" s="4">
        <v>137.80000000000001</v>
      </c>
      <c r="Y219" s="4">
        <v>118.6</v>
      </c>
      <c r="Z219" s="4">
        <v>131.9</v>
      </c>
      <c r="AA219" s="4">
        <v>146.6</v>
      </c>
      <c r="AB219" s="4">
        <v>131.69999999999999</v>
      </c>
      <c r="AC219" s="4">
        <v>131.80000000000001</v>
      </c>
      <c r="AD219" s="4">
        <v>138</v>
      </c>
    </row>
    <row r="220" spans="1:30" hidden="1" x14ac:dyDescent="0.3">
      <c r="A220" t="s">
        <v>34</v>
      </c>
      <c r="B220">
        <v>2019</v>
      </c>
      <c r="C220" t="s">
        <v>31</v>
      </c>
      <c r="D220" s="4">
        <v>137.1</v>
      </c>
      <c r="E220" s="4">
        <v>151.4</v>
      </c>
      <c r="F220" s="4">
        <v>140.19999999999999</v>
      </c>
      <c r="G220" s="4">
        <v>142.1</v>
      </c>
      <c r="H220" s="4">
        <v>121.8</v>
      </c>
      <c r="I220" s="4">
        <v>135.4</v>
      </c>
      <c r="J220" s="4">
        <v>131.30000000000001</v>
      </c>
      <c r="K220" s="4">
        <v>120.3</v>
      </c>
      <c r="L220" s="4">
        <v>109.1</v>
      </c>
      <c r="M220" s="4">
        <v>139.4</v>
      </c>
      <c r="N220" s="4">
        <v>133.30000000000001</v>
      </c>
      <c r="O220" s="4">
        <v>154.6</v>
      </c>
      <c r="P220" s="4">
        <v>137.4</v>
      </c>
      <c r="Q220" s="4">
        <v>163.19999999999999</v>
      </c>
      <c r="R220" s="4">
        <v>147.6</v>
      </c>
      <c r="S220" s="4">
        <v>139</v>
      </c>
      <c r="T220" s="4">
        <v>146.4</v>
      </c>
      <c r="U220" s="4">
        <v>147.69999999999999</v>
      </c>
      <c r="V220" s="4">
        <v>139.5</v>
      </c>
      <c r="W220" s="4">
        <v>143.6</v>
      </c>
      <c r="X220" s="4">
        <v>145.1</v>
      </c>
      <c r="Y220" s="4">
        <v>123.3</v>
      </c>
      <c r="Z220" s="4">
        <v>136.69999999999999</v>
      </c>
      <c r="AA220" s="4">
        <v>150.19999999999999</v>
      </c>
      <c r="AB220" s="4">
        <v>132.80000000000001</v>
      </c>
      <c r="AC220" s="4">
        <v>136.9</v>
      </c>
      <c r="AD220" s="4">
        <v>139.6</v>
      </c>
    </row>
    <row r="221" spans="1:30" hidden="1" x14ac:dyDescent="0.3">
      <c r="A221" t="s">
        <v>30</v>
      </c>
      <c r="B221">
        <v>2019</v>
      </c>
      <c r="C221" t="s">
        <v>35</v>
      </c>
      <c r="D221" s="4">
        <v>136.80000000000001</v>
      </c>
      <c r="E221" s="4">
        <v>153</v>
      </c>
      <c r="F221" s="4">
        <v>139.1</v>
      </c>
      <c r="G221" s="4">
        <v>142.5</v>
      </c>
      <c r="H221" s="4">
        <v>124.1</v>
      </c>
      <c r="I221" s="4">
        <v>135.80000000000001</v>
      </c>
      <c r="J221" s="4">
        <v>128.69999999999999</v>
      </c>
      <c r="K221" s="4">
        <v>121.5</v>
      </c>
      <c r="L221" s="4">
        <v>108.3</v>
      </c>
      <c r="M221" s="4">
        <v>139.19999999999999</v>
      </c>
      <c r="N221" s="4">
        <v>137.4</v>
      </c>
      <c r="O221" s="4">
        <v>156.19999999999999</v>
      </c>
      <c r="P221" s="4">
        <v>137.19999999999999</v>
      </c>
      <c r="Q221" s="4">
        <v>162.80000000000001</v>
      </c>
      <c r="R221" s="4">
        <v>150.5</v>
      </c>
      <c r="S221" s="4">
        <v>146.1</v>
      </c>
      <c r="T221" s="4">
        <v>149.9</v>
      </c>
      <c r="U221" s="4">
        <v>148.5</v>
      </c>
      <c r="V221" s="4">
        <v>145.30000000000001</v>
      </c>
      <c r="W221" s="4">
        <v>150.1</v>
      </c>
      <c r="X221" s="4">
        <v>149.9</v>
      </c>
      <c r="Y221" s="4">
        <v>129.19999999999999</v>
      </c>
      <c r="Z221" s="4">
        <v>143.4</v>
      </c>
      <c r="AA221" s="4">
        <v>155.5</v>
      </c>
      <c r="AB221" s="4">
        <v>134.9</v>
      </c>
      <c r="AC221" s="4">
        <v>142.19999999999999</v>
      </c>
      <c r="AD221" s="4">
        <v>141</v>
      </c>
    </row>
    <row r="222" spans="1:30" hidden="1" x14ac:dyDescent="0.3">
      <c r="A222" t="s">
        <v>33</v>
      </c>
      <c r="B222">
        <v>2019</v>
      </c>
      <c r="C222" t="s">
        <v>35</v>
      </c>
      <c r="D222" s="4">
        <v>139.4</v>
      </c>
      <c r="E222" s="4">
        <v>150.1</v>
      </c>
      <c r="F222" s="4">
        <v>145.30000000000001</v>
      </c>
      <c r="G222" s="4">
        <v>141.69999999999999</v>
      </c>
      <c r="H222" s="4">
        <v>118.4</v>
      </c>
      <c r="I222" s="4">
        <v>137</v>
      </c>
      <c r="J222" s="4">
        <v>131.6</v>
      </c>
      <c r="K222" s="4">
        <v>119.9</v>
      </c>
      <c r="L222" s="4">
        <v>110.4</v>
      </c>
      <c r="M222" s="4">
        <v>140.80000000000001</v>
      </c>
      <c r="N222" s="4">
        <v>128.30000000000001</v>
      </c>
      <c r="O222" s="4">
        <v>153.5</v>
      </c>
      <c r="P222" s="4">
        <v>138</v>
      </c>
      <c r="Q222" s="4">
        <v>164.9</v>
      </c>
      <c r="R222" s="4">
        <v>143.30000000000001</v>
      </c>
      <c r="S222" s="4">
        <v>130.80000000000001</v>
      </c>
      <c r="T222" s="4">
        <v>141.4</v>
      </c>
      <c r="U222" s="4">
        <v>148.5</v>
      </c>
      <c r="V222" s="4">
        <v>127.1</v>
      </c>
      <c r="W222" s="4">
        <v>136.6</v>
      </c>
      <c r="X222" s="4">
        <v>138.5</v>
      </c>
      <c r="Y222" s="4">
        <v>119.2</v>
      </c>
      <c r="Z222" s="4">
        <v>132.19999999999999</v>
      </c>
      <c r="AA222" s="4">
        <v>146.6</v>
      </c>
      <c r="AB222" s="4">
        <v>133</v>
      </c>
      <c r="AC222" s="4">
        <v>132.4</v>
      </c>
      <c r="AD222" s="4">
        <v>138.6</v>
      </c>
    </row>
    <row r="223" spans="1:30" hidden="1" x14ac:dyDescent="0.3">
      <c r="A223" t="s">
        <v>34</v>
      </c>
      <c r="B223">
        <v>2019</v>
      </c>
      <c r="C223" t="s">
        <v>35</v>
      </c>
      <c r="D223" s="4">
        <v>137.6</v>
      </c>
      <c r="E223" s="4">
        <v>152</v>
      </c>
      <c r="F223" s="4">
        <v>141.5</v>
      </c>
      <c r="G223" s="4">
        <v>142.19999999999999</v>
      </c>
      <c r="H223" s="4">
        <v>122</v>
      </c>
      <c r="I223" s="4">
        <v>136.4</v>
      </c>
      <c r="J223" s="4">
        <v>129.69999999999999</v>
      </c>
      <c r="K223" s="4">
        <v>121</v>
      </c>
      <c r="L223" s="4">
        <v>109</v>
      </c>
      <c r="M223" s="4">
        <v>139.69999999999999</v>
      </c>
      <c r="N223" s="4">
        <v>133.6</v>
      </c>
      <c r="O223" s="4">
        <v>154.9</v>
      </c>
      <c r="P223" s="4">
        <v>137.5</v>
      </c>
      <c r="Q223" s="4">
        <v>163.4</v>
      </c>
      <c r="R223" s="4">
        <v>147.69999999999999</v>
      </c>
      <c r="S223" s="4">
        <v>139.69999999999999</v>
      </c>
      <c r="T223" s="4">
        <v>146.5</v>
      </c>
      <c r="U223" s="4">
        <v>148.5</v>
      </c>
      <c r="V223" s="4">
        <v>138.4</v>
      </c>
      <c r="W223" s="4">
        <v>143.69999999999999</v>
      </c>
      <c r="X223" s="4">
        <v>145.6</v>
      </c>
      <c r="Y223" s="4">
        <v>123.9</v>
      </c>
      <c r="Z223" s="4">
        <v>137.1</v>
      </c>
      <c r="AA223" s="4">
        <v>150.30000000000001</v>
      </c>
      <c r="AB223" s="4">
        <v>134.1</v>
      </c>
      <c r="AC223" s="4">
        <v>137.4</v>
      </c>
      <c r="AD223" s="4">
        <v>139.9</v>
      </c>
    </row>
    <row r="224" spans="1:30" hidden="1" x14ac:dyDescent="0.3">
      <c r="A224" t="s">
        <v>30</v>
      </c>
      <c r="B224">
        <v>2019</v>
      </c>
      <c r="C224" t="s">
        <v>36</v>
      </c>
      <c r="D224" s="4">
        <v>136.9</v>
      </c>
      <c r="E224" s="4">
        <v>154.1</v>
      </c>
      <c r="F224" s="4">
        <v>138.69999999999999</v>
      </c>
      <c r="G224" s="4">
        <v>142.5</v>
      </c>
      <c r="H224" s="4">
        <v>124.1</v>
      </c>
      <c r="I224" s="4">
        <v>136.1</v>
      </c>
      <c r="J224" s="4">
        <v>128.19999999999999</v>
      </c>
      <c r="K224" s="4">
        <v>122.3</v>
      </c>
      <c r="L224" s="4">
        <v>108.3</v>
      </c>
      <c r="M224" s="4">
        <v>138.9</v>
      </c>
      <c r="N224" s="4">
        <v>137.4</v>
      </c>
      <c r="O224" s="4">
        <v>156.4</v>
      </c>
      <c r="P224" s="4">
        <v>137.30000000000001</v>
      </c>
      <c r="Q224" s="4">
        <v>162.9</v>
      </c>
      <c r="R224" s="4">
        <v>150.80000000000001</v>
      </c>
      <c r="S224" s="4">
        <v>146.1</v>
      </c>
      <c r="T224" s="4">
        <v>150.1</v>
      </c>
      <c r="U224" s="4">
        <v>149</v>
      </c>
      <c r="V224" s="4">
        <v>146.4</v>
      </c>
      <c r="W224" s="4">
        <v>150</v>
      </c>
      <c r="X224" s="4">
        <v>150.4</v>
      </c>
      <c r="Y224" s="4">
        <v>129.9</v>
      </c>
      <c r="Z224" s="4">
        <v>143.80000000000001</v>
      </c>
      <c r="AA224" s="4">
        <v>155.5</v>
      </c>
      <c r="AB224" s="4">
        <v>134</v>
      </c>
      <c r="AC224" s="4">
        <v>142.4</v>
      </c>
      <c r="AD224" s="4">
        <v>141.19999999999999</v>
      </c>
    </row>
    <row r="225" spans="1:30" hidden="1" x14ac:dyDescent="0.3">
      <c r="A225" t="s">
        <v>33</v>
      </c>
      <c r="B225">
        <v>2019</v>
      </c>
      <c r="C225" t="s">
        <v>36</v>
      </c>
      <c r="D225" s="4">
        <v>139.69999999999999</v>
      </c>
      <c r="E225" s="4">
        <v>151.1</v>
      </c>
      <c r="F225" s="4">
        <v>142.9</v>
      </c>
      <c r="G225" s="4">
        <v>141.9</v>
      </c>
      <c r="H225" s="4">
        <v>118.4</v>
      </c>
      <c r="I225" s="4">
        <v>139.4</v>
      </c>
      <c r="J225" s="4">
        <v>141.19999999999999</v>
      </c>
      <c r="K225" s="4">
        <v>120.7</v>
      </c>
      <c r="L225" s="4">
        <v>110.4</v>
      </c>
      <c r="M225" s="4">
        <v>140.69999999999999</v>
      </c>
      <c r="N225" s="4">
        <v>128.5</v>
      </c>
      <c r="O225" s="4">
        <v>153.9</v>
      </c>
      <c r="P225" s="4">
        <v>139.6</v>
      </c>
      <c r="Q225" s="4">
        <v>165.3</v>
      </c>
      <c r="R225" s="4">
        <v>143.5</v>
      </c>
      <c r="S225" s="4">
        <v>131.19999999999999</v>
      </c>
      <c r="T225" s="4">
        <v>141.6</v>
      </c>
      <c r="U225" s="4">
        <v>149</v>
      </c>
      <c r="V225" s="4">
        <v>128.80000000000001</v>
      </c>
      <c r="W225" s="4">
        <v>136.80000000000001</v>
      </c>
      <c r="X225" s="4">
        <v>139.19999999999999</v>
      </c>
      <c r="Y225" s="4">
        <v>119.9</v>
      </c>
      <c r="Z225" s="4">
        <v>133</v>
      </c>
      <c r="AA225" s="4">
        <v>146.69999999999999</v>
      </c>
      <c r="AB225" s="4">
        <v>132.5</v>
      </c>
      <c r="AC225" s="4">
        <v>132.80000000000001</v>
      </c>
      <c r="AD225" s="4">
        <v>139.5</v>
      </c>
    </row>
    <row r="226" spans="1:30" hidden="1" x14ac:dyDescent="0.3">
      <c r="A226" t="s">
        <v>34</v>
      </c>
      <c r="B226">
        <v>2019</v>
      </c>
      <c r="C226" t="s">
        <v>36</v>
      </c>
      <c r="D226" s="4">
        <v>137.80000000000001</v>
      </c>
      <c r="E226" s="4">
        <v>153</v>
      </c>
      <c r="F226" s="4">
        <v>140.30000000000001</v>
      </c>
      <c r="G226" s="4">
        <v>142.30000000000001</v>
      </c>
      <c r="H226" s="4">
        <v>122</v>
      </c>
      <c r="I226" s="4">
        <v>137.6</v>
      </c>
      <c r="J226" s="4">
        <v>132.6</v>
      </c>
      <c r="K226" s="4">
        <v>121.8</v>
      </c>
      <c r="L226" s="4">
        <v>109</v>
      </c>
      <c r="M226" s="4">
        <v>139.5</v>
      </c>
      <c r="N226" s="4">
        <v>133.69999999999999</v>
      </c>
      <c r="O226" s="4">
        <v>155.19999999999999</v>
      </c>
      <c r="P226" s="4">
        <v>138.1</v>
      </c>
      <c r="Q226" s="4">
        <v>163.5</v>
      </c>
      <c r="R226" s="4">
        <v>147.9</v>
      </c>
      <c r="S226" s="4">
        <v>139.9</v>
      </c>
      <c r="T226" s="4">
        <v>146.69999999999999</v>
      </c>
      <c r="U226" s="4">
        <v>149</v>
      </c>
      <c r="V226" s="4">
        <v>139.69999999999999</v>
      </c>
      <c r="W226" s="4">
        <v>143.80000000000001</v>
      </c>
      <c r="X226" s="4">
        <v>146.19999999999999</v>
      </c>
      <c r="Y226" s="4">
        <v>124.6</v>
      </c>
      <c r="Z226" s="4">
        <v>137.69999999999999</v>
      </c>
      <c r="AA226" s="4">
        <v>150.30000000000001</v>
      </c>
      <c r="AB226" s="4">
        <v>133.4</v>
      </c>
      <c r="AC226" s="4">
        <v>137.69999999999999</v>
      </c>
      <c r="AD226" s="4">
        <v>140.4</v>
      </c>
    </row>
    <row r="227" spans="1:30" hidden="1" x14ac:dyDescent="0.3">
      <c r="A227" t="s">
        <v>30</v>
      </c>
      <c r="B227">
        <v>2019</v>
      </c>
      <c r="C227" t="s">
        <v>38</v>
      </c>
      <c r="D227" s="4">
        <v>137.4</v>
      </c>
      <c r="E227" s="4">
        <v>159.5</v>
      </c>
      <c r="F227" s="4">
        <v>134.5</v>
      </c>
      <c r="G227" s="4">
        <v>142.6</v>
      </c>
      <c r="H227" s="4">
        <v>124</v>
      </c>
      <c r="I227" s="4">
        <v>143.69999999999999</v>
      </c>
      <c r="J227" s="4">
        <v>133.4</v>
      </c>
      <c r="K227" s="4">
        <v>125.1</v>
      </c>
      <c r="L227" s="4">
        <v>109.3</v>
      </c>
      <c r="M227" s="4">
        <v>139.30000000000001</v>
      </c>
      <c r="N227" s="4">
        <v>137.69999999999999</v>
      </c>
      <c r="O227" s="4">
        <v>156.4</v>
      </c>
      <c r="P227" s="4">
        <v>139.19999999999999</v>
      </c>
      <c r="Q227" s="4">
        <v>163.30000000000001</v>
      </c>
      <c r="R227" s="4">
        <v>151.30000000000001</v>
      </c>
      <c r="S227" s="4">
        <v>146.6</v>
      </c>
      <c r="T227" s="4">
        <v>150.69999999999999</v>
      </c>
      <c r="U227" s="4">
        <v>150.1</v>
      </c>
      <c r="V227" s="4">
        <v>146.9</v>
      </c>
      <c r="W227" s="4">
        <v>149.5</v>
      </c>
      <c r="X227" s="4">
        <v>151.30000000000001</v>
      </c>
      <c r="Y227" s="4">
        <v>130.19999999999999</v>
      </c>
      <c r="Z227" s="4">
        <v>145.9</v>
      </c>
      <c r="AA227" s="4">
        <v>156.69999999999999</v>
      </c>
      <c r="AB227" s="4">
        <v>133.9</v>
      </c>
      <c r="AC227" s="4">
        <v>142.9</v>
      </c>
      <c r="AD227" s="4">
        <v>142.4</v>
      </c>
    </row>
    <row r="228" spans="1:30" hidden="1" x14ac:dyDescent="0.3">
      <c r="A228" t="s">
        <v>33</v>
      </c>
      <c r="B228">
        <v>2019</v>
      </c>
      <c r="C228" t="s">
        <v>38</v>
      </c>
      <c r="D228" s="4">
        <v>140.4</v>
      </c>
      <c r="E228" s="4">
        <v>156.69999999999999</v>
      </c>
      <c r="F228" s="4">
        <v>138.30000000000001</v>
      </c>
      <c r="G228" s="4">
        <v>142.4</v>
      </c>
      <c r="H228" s="4">
        <v>118.6</v>
      </c>
      <c r="I228" s="4">
        <v>149.69999999999999</v>
      </c>
      <c r="J228" s="4">
        <v>161.6</v>
      </c>
      <c r="K228" s="4">
        <v>124.4</v>
      </c>
      <c r="L228" s="4">
        <v>111.2</v>
      </c>
      <c r="M228" s="4">
        <v>141</v>
      </c>
      <c r="N228" s="4">
        <v>128.9</v>
      </c>
      <c r="O228" s="4">
        <v>154.5</v>
      </c>
      <c r="P228" s="4">
        <v>143.80000000000001</v>
      </c>
      <c r="Q228" s="4">
        <v>166.2</v>
      </c>
      <c r="R228" s="4">
        <v>144</v>
      </c>
      <c r="S228" s="4">
        <v>131.69999999999999</v>
      </c>
      <c r="T228" s="4">
        <v>142.19999999999999</v>
      </c>
      <c r="U228" s="4">
        <v>150.1</v>
      </c>
      <c r="V228" s="4">
        <v>129.4</v>
      </c>
      <c r="W228" s="4">
        <v>137.19999999999999</v>
      </c>
      <c r="X228" s="4">
        <v>139.80000000000001</v>
      </c>
      <c r="Y228" s="4">
        <v>120.1</v>
      </c>
      <c r="Z228" s="4">
        <v>134</v>
      </c>
      <c r="AA228" s="4">
        <v>148</v>
      </c>
      <c r="AB228" s="4">
        <v>132.6</v>
      </c>
      <c r="AC228" s="4">
        <v>133.30000000000001</v>
      </c>
      <c r="AD228" s="4">
        <v>141.5</v>
      </c>
    </row>
    <row r="229" spans="1:30" hidden="1" x14ac:dyDescent="0.3">
      <c r="A229" t="s">
        <v>34</v>
      </c>
      <c r="B229">
        <v>2019</v>
      </c>
      <c r="C229" t="s">
        <v>38</v>
      </c>
      <c r="D229" s="4">
        <v>138.30000000000001</v>
      </c>
      <c r="E229" s="4">
        <v>158.5</v>
      </c>
      <c r="F229" s="4">
        <v>136</v>
      </c>
      <c r="G229" s="4">
        <v>142.5</v>
      </c>
      <c r="H229" s="4">
        <v>122</v>
      </c>
      <c r="I229" s="4">
        <v>146.5</v>
      </c>
      <c r="J229" s="4">
        <v>143</v>
      </c>
      <c r="K229" s="4">
        <v>124.9</v>
      </c>
      <c r="L229" s="4">
        <v>109.9</v>
      </c>
      <c r="M229" s="4">
        <v>139.9</v>
      </c>
      <c r="N229" s="4">
        <v>134</v>
      </c>
      <c r="O229" s="4">
        <v>155.5</v>
      </c>
      <c r="P229" s="4">
        <v>140.9</v>
      </c>
      <c r="Q229" s="4">
        <v>164.1</v>
      </c>
      <c r="R229" s="4">
        <v>148.4</v>
      </c>
      <c r="S229" s="4">
        <v>140.4</v>
      </c>
      <c r="T229" s="4">
        <v>147.30000000000001</v>
      </c>
      <c r="U229" s="4">
        <v>150.1</v>
      </c>
      <c r="V229" s="4">
        <v>140.30000000000001</v>
      </c>
      <c r="W229" s="4">
        <v>143.69999999999999</v>
      </c>
      <c r="X229" s="4">
        <v>146.9</v>
      </c>
      <c r="Y229" s="4">
        <v>124.9</v>
      </c>
      <c r="Z229" s="4">
        <v>139.19999999999999</v>
      </c>
      <c r="AA229" s="4">
        <v>151.6</v>
      </c>
      <c r="AB229" s="4">
        <v>133.4</v>
      </c>
      <c r="AC229" s="4">
        <v>138.19999999999999</v>
      </c>
      <c r="AD229" s="4">
        <v>142</v>
      </c>
    </row>
    <row r="230" spans="1:30" hidden="1" x14ac:dyDescent="0.3">
      <c r="A230" t="s">
        <v>30</v>
      </c>
      <c r="B230">
        <v>2019</v>
      </c>
      <c r="C230" t="s">
        <v>39</v>
      </c>
      <c r="D230" s="4">
        <v>137.80000000000001</v>
      </c>
      <c r="E230" s="4">
        <v>163.5</v>
      </c>
      <c r="F230" s="4">
        <v>136.19999999999999</v>
      </c>
      <c r="G230" s="4">
        <v>143.19999999999999</v>
      </c>
      <c r="H230" s="4">
        <v>124.3</v>
      </c>
      <c r="I230" s="4">
        <v>143.30000000000001</v>
      </c>
      <c r="J230" s="4">
        <v>140.6</v>
      </c>
      <c r="K230" s="4">
        <v>128.69999999999999</v>
      </c>
      <c r="L230" s="4">
        <v>110.6</v>
      </c>
      <c r="M230" s="4">
        <v>140.4</v>
      </c>
      <c r="N230" s="4">
        <v>138</v>
      </c>
      <c r="O230" s="4">
        <v>156.6</v>
      </c>
      <c r="P230" s="4">
        <v>141</v>
      </c>
      <c r="Q230" s="4">
        <v>164.2</v>
      </c>
      <c r="R230" s="4">
        <v>151.4</v>
      </c>
      <c r="S230" s="4">
        <v>146.5</v>
      </c>
      <c r="T230" s="4">
        <v>150.69999999999999</v>
      </c>
      <c r="U230" s="4">
        <v>149.4</v>
      </c>
      <c r="V230" s="4">
        <v>147.80000000000001</v>
      </c>
      <c r="W230" s="4">
        <v>149.6</v>
      </c>
      <c r="X230" s="4">
        <v>151.69999999999999</v>
      </c>
      <c r="Y230" s="4">
        <v>130.19999999999999</v>
      </c>
      <c r="Z230" s="4">
        <v>146.4</v>
      </c>
      <c r="AA230" s="4">
        <v>157.69999999999999</v>
      </c>
      <c r="AB230" s="4">
        <v>134.80000000000001</v>
      </c>
      <c r="AC230" s="4">
        <v>143.30000000000001</v>
      </c>
      <c r="AD230" s="4">
        <v>143.6</v>
      </c>
    </row>
    <row r="231" spans="1:30" hidden="1" x14ac:dyDescent="0.3">
      <c r="A231" t="s">
        <v>33</v>
      </c>
      <c r="B231">
        <v>2019</v>
      </c>
      <c r="C231" t="s">
        <v>39</v>
      </c>
      <c r="D231" s="4">
        <v>140.69999999999999</v>
      </c>
      <c r="E231" s="4">
        <v>159.6</v>
      </c>
      <c r="F231" s="4">
        <v>140.4</v>
      </c>
      <c r="G231" s="4">
        <v>143.4</v>
      </c>
      <c r="H231" s="4">
        <v>118.6</v>
      </c>
      <c r="I231" s="4">
        <v>150.9</v>
      </c>
      <c r="J231" s="4">
        <v>169.8</v>
      </c>
      <c r="K231" s="4">
        <v>127.4</v>
      </c>
      <c r="L231" s="4">
        <v>111.8</v>
      </c>
      <c r="M231" s="4">
        <v>141</v>
      </c>
      <c r="N231" s="4">
        <v>129</v>
      </c>
      <c r="O231" s="4">
        <v>155.1</v>
      </c>
      <c r="P231" s="4">
        <v>145.6</v>
      </c>
      <c r="Q231" s="4">
        <v>166.7</v>
      </c>
      <c r="R231" s="4">
        <v>144.30000000000001</v>
      </c>
      <c r="S231" s="4">
        <v>131.69999999999999</v>
      </c>
      <c r="T231" s="4">
        <v>142.4</v>
      </c>
      <c r="U231" s="4">
        <v>149.4</v>
      </c>
      <c r="V231" s="4">
        <v>130.5</v>
      </c>
      <c r="W231" s="4">
        <v>137.4</v>
      </c>
      <c r="X231" s="4">
        <v>140.30000000000001</v>
      </c>
      <c r="Y231" s="4">
        <v>119.6</v>
      </c>
      <c r="Z231" s="4">
        <v>134.30000000000001</v>
      </c>
      <c r="AA231" s="4">
        <v>148.9</v>
      </c>
      <c r="AB231" s="4">
        <v>133.69999999999999</v>
      </c>
      <c r="AC231" s="4">
        <v>133.6</v>
      </c>
      <c r="AD231" s="4">
        <v>142.1</v>
      </c>
    </row>
    <row r="232" spans="1:30" hidden="1" x14ac:dyDescent="0.3">
      <c r="A232" t="s">
        <v>34</v>
      </c>
      <c r="B232">
        <v>2019</v>
      </c>
      <c r="C232" t="s">
        <v>39</v>
      </c>
      <c r="D232" s="4">
        <v>138.69999999999999</v>
      </c>
      <c r="E232" s="4">
        <v>162.1</v>
      </c>
      <c r="F232" s="4">
        <v>137.80000000000001</v>
      </c>
      <c r="G232" s="4">
        <v>143.30000000000001</v>
      </c>
      <c r="H232" s="4">
        <v>122.2</v>
      </c>
      <c r="I232" s="4">
        <v>146.80000000000001</v>
      </c>
      <c r="J232" s="4">
        <v>150.5</v>
      </c>
      <c r="K232" s="4">
        <v>128.30000000000001</v>
      </c>
      <c r="L232" s="4">
        <v>111</v>
      </c>
      <c r="M232" s="4">
        <v>140.6</v>
      </c>
      <c r="N232" s="4">
        <v>134.19999999999999</v>
      </c>
      <c r="O232" s="4">
        <v>155.9</v>
      </c>
      <c r="P232" s="4">
        <v>142.69999999999999</v>
      </c>
      <c r="Q232" s="4">
        <v>164.9</v>
      </c>
      <c r="R232" s="4">
        <v>148.6</v>
      </c>
      <c r="S232" s="4">
        <v>140.4</v>
      </c>
      <c r="T232" s="4">
        <v>147.4</v>
      </c>
      <c r="U232" s="4">
        <v>149.4</v>
      </c>
      <c r="V232" s="4">
        <v>141.19999999999999</v>
      </c>
      <c r="W232" s="4">
        <v>143.80000000000001</v>
      </c>
      <c r="X232" s="4">
        <v>147.4</v>
      </c>
      <c r="Y232" s="4">
        <v>124.6</v>
      </c>
      <c r="Z232" s="4">
        <v>139.6</v>
      </c>
      <c r="AA232" s="4">
        <v>152.5</v>
      </c>
      <c r="AB232" s="4">
        <v>134.30000000000001</v>
      </c>
      <c r="AC232" s="4">
        <v>138.6</v>
      </c>
      <c r="AD232" s="4">
        <v>142.9</v>
      </c>
    </row>
    <row r="233" spans="1:30" hidden="1" x14ac:dyDescent="0.3">
      <c r="A233" t="s">
        <v>30</v>
      </c>
      <c r="B233">
        <v>2019</v>
      </c>
      <c r="C233" t="s">
        <v>40</v>
      </c>
      <c r="D233" s="4">
        <v>138.4</v>
      </c>
      <c r="E233" s="4">
        <v>164</v>
      </c>
      <c r="F233" s="4">
        <v>138.4</v>
      </c>
      <c r="G233" s="4">
        <v>143.9</v>
      </c>
      <c r="H233" s="4">
        <v>124.4</v>
      </c>
      <c r="I233" s="4">
        <v>146.4</v>
      </c>
      <c r="J233" s="4">
        <v>150.1</v>
      </c>
      <c r="K233" s="4">
        <v>130.6</v>
      </c>
      <c r="L233" s="4">
        <v>110.8</v>
      </c>
      <c r="M233" s="4">
        <v>141.69999999999999</v>
      </c>
      <c r="N233" s="4">
        <v>138.5</v>
      </c>
      <c r="O233" s="4">
        <v>156.69999999999999</v>
      </c>
      <c r="P233" s="4">
        <v>143</v>
      </c>
      <c r="Q233" s="4">
        <v>164.5</v>
      </c>
      <c r="R233" s="4">
        <v>151.6</v>
      </c>
      <c r="S233" s="4">
        <v>146.6</v>
      </c>
      <c r="T233" s="4">
        <v>150.9</v>
      </c>
      <c r="U233" s="4">
        <v>150.6</v>
      </c>
      <c r="V233" s="4">
        <v>146.80000000000001</v>
      </c>
      <c r="W233" s="4">
        <v>150</v>
      </c>
      <c r="X233" s="4">
        <v>152.19999999999999</v>
      </c>
      <c r="Y233" s="4">
        <v>131.19999999999999</v>
      </c>
      <c r="Z233" s="4">
        <v>147.5</v>
      </c>
      <c r="AA233" s="4">
        <v>159.1</v>
      </c>
      <c r="AB233" s="4">
        <v>136.1</v>
      </c>
      <c r="AC233" s="4">
        <v>144.19999999999999</v>
      </c>
      <c r="AD233" s="4">
        <v>144.9</v>
      </c>
    </row>
    <row r="234" spans="1:30" hidden="1" x14ac:dyDescent="0.3">
      <c r="A234" t="s">
        <v>33</v>
      </c>
      <c r="B234">
        <v>2019</v>
      </c>
      <c r="C234" t="s">
        <v>40</v>
      </c>
      <c r="D234" s="4">
        <v>141.4</v>
      </c>
      <c r="E234" s="4">
        <v>160.19999999999999</v>
      </c>
      <c r="F234" s="4">
        <v>142.5</v>
      </c>
      <c r="G234" s="4">
        <v>144.1</v>
      </c>
      <c r="H234" s="4">
        <v>119.3</v>
      </c>
      <c r="I234" s="4">
        <v>154.69999999999999</v>
      </c>
      <c r="J234" s="4">
        <v>180.1</v>
      </c>
      <c r="K234" s="4">
        <v>128.9</v>
      </c>
      <c r="L234" s="4">
        <v>111.8</v>
      </c>
      <c r="M234" s="4">
        <v>141.6</v>
      </c>
      <c r="N234" s="4">
        <v>129.5</v>
      </c>
      <c r="O234" s="4">
        <v>155.6</v>
      </c>
      <c r="P234" s="4">
        <v>147.69999999999999</v>
      </c>
      <c r="Q234" s="4">
        <v>167.2</v>
      </c>
      <c r="R234" s="4">
        <v>144.69999999999999</v>
      </c>
      <c r="S234" s="4">
        <v>131.9</v>
      </c>
      <c r="T234" s="4">
        <v>142.69999999999999</v>
      </c>
      <c r="U234" s="4">
        <v>150.6</v>
      </c>
      <c r="V234" s="4">
        <v>127</v>
      </c>
      <c r="W234" s="4">
        <v>137.69999999999999</v>
      </c>
      <c r="X234" s="4">
        <v>140.80000000000001</v>
      </c>
      <c r="Y234" s="4">
        <v>120.6</v>
      </c>
      <c r="Z234" s="4">
        <v>135</v>
      </c>
      <c r="AA234" s="4">
        <v>150.4</v>
      </c>
      <c r="AB234" s="4">
        <v>135.1</v>
      </c>
      <c r="AC234" s="4">
        <v>134.5</v>
      </c>
      <c r="AD234" s="4">
        <v>143.30000000000001</v>
      </c>
    </row>
    <row r="235" spans="1:30" hidden="1" x14ac:dyDescent="0.3">
      <c r="A235" t="s">
        <v>34</v>
      </c>
      <c r="B235">
        <v>2019</v>
      </c>
      <c r="C235" t="s">
        <v>40</v>
      </c>
      <c r="D235" s="4">
        <v>139.30000000000001</v>
      </c>
      <c r="E235" s="4">
        <v>162.69999999999999</v>
      </c>
      <c r="F235" s="4">
        <v>140</v>
      </c>
      <c r="G235" s="4">
        <v>144</v>
      </c>
      <c r="H235" s="4">
        <v>122.5</v>
      </c>
      <c r="I235" s="4">
        <v>150.30000000000001</v>
      </c>
      <c r="J235" s="4">
        <v>160.30000000000001</v>
      </c>
      <c r="K235" s="4">
        <v>130</v>
      </c>
      <c r="L235" s="4">
        <v>111.1</v>
      </c>
      <c r="M235" s="4">
        <v>141.69999999999999</v>
      </c>
      <c r="N235" s="4">
        <v>134.69999999999999</v>
      </c>
      <c r="O235" s="4">
        <v>156.19999999999999</v>
      </c>
      <c r="P235" s="4">
        <v>144.69999999999999</v>
      </c>
      <c r="Q235" s="4">
        <v>165.2</v>
      </c>
      <c r="R235" s="4">
        <v>148.9</v>
      </c>
      <c r="S235" s="4">
        <v>140.5</v>
      </c>
      <c r="T235" s="4">
        <v>147.6</v>
      </c>
      <c r="U235" s="4">
        <v>150.6</v>
      </c>
      <c r="V235" s="4">
        <v>139.30000000000001</v>
      </c>
      <c r="W235" s="4">
        <v>144.19999999999999</v>
      </c>
      <c r="X235" s="4">
        <v>147.9</v>
      </c>
      <c r="Y235" s="4">
        <v>125.6</v>
      </c>
      <c r="Z235" s="4">
        <v>140.5</v>
      </c>
      <c r="AA235" s="4">
        <v>154</v>
      </c>
      <c r="AB235" s="4">
        <v>135.69999999999999</v>
      </c>
      <c r="AC235" s="4">
        <v>139.5</v>
      </c>
      <c r="AD235" s="4">
        <v>144.19999999999999</v>
      </c>
    </row>
    <row r="236" spans="1:30" hidden="1" x14ac:dyDescent="0.3">
      <c r="A236" t="s">
        <v>30</v>
      </c>
      <c r="B236">
        <v>2019</v>
      </c>
      <c r="C236" t="s">
        <v>41</v>
      </c>
      <c r="D236" s="4">
        <v>139.19999999999999</v>
      </c>
      <c r="E236" s="4">
        <v>161.9</v>
      </c>
      <c r="F236" s="4">
        <v>137.1</v>
      </c>
      <c r="G236" s="4">
        <v>144.6</v>
      </c>
      <c r="H236" s="4">
        <v>124.7</v>
      </c>
      <c r="I236" s="4">
        <v>145.5</v>
      </c>
      <c r="J236" s="4">
        <v>156.19999999999999</v>
      </c>
      <c r="K236" s="4">
        <v>131.5</v>
      </c>
      <c r="L236" s="4">
        <v>111.7</v>
      </c>
      <c r="M236" s="4">
        <v>142.69999999999999</v>
      </c>
      <c r="N236" s="4">
        <v>138.5</v>
      </c>
      <c r="O236" s="4">
        <v>156.9</v>
      </c>
      <c r="P236" s="4">
        <v>144</v>
      </c>
      <c r="Q236" s="4">
        <v>165.1</v>
      </c>
      <c r="R236" s="4">
        <v>151.80000000000001</v>
      </c>
      <c r="S236" s="4">
        <v>146.6</v>
      </c>
      <c r="T236" s="4">
        <v>151.1</v>
      </c>
      <c r="U236" s="4">
        <v>151.6</v>
      </c>
      <c r="V236" s="4">
        <v>146.4</v>
      </c>
      <c r="W236" s="4">
        <v>150.19999999999999</v>
      </c>
      <c r="X236" s="4">
        <v>152.69999999999999</v>
      </c>
      <c r="Y236" s="4">
        <v>131.4</v>
      </c>
      <c r="Z236" s="4">
        <v>148</v>
      </c>
      <c r="AA236" s="4">
        <v>159.69999999999999</v>
      </c>
      <c r="AB236" s="4">
        <v>138.80000000000001</v>
      </c>
      <c r="AC236" s="4">
        <v>144.9</v>
      </c>
      <c r="AD236" s="4">
        <v>145.69999999999999</v>
      </c>
    </row>
    <row r="237" spans="1:30" hidden="1" x14ac:dyDescent="0.3">
      <c r="A237" t="s">
        <v>33</v>
      </c>
      <c r="B237">
        <v>2019</v>
      </c>
      <c r="C237" t="s">
        <v>41</v>
      </c>
      <c r="D237" s="4">
        <v>142.1</v>
      </c>
      <c r="E237" s="4">
        <v>158.30000000000001</v>
      </c>
      <c r="F237" s="4">
        <v>140.80000000000001</v>
      </c>
      <c r="G237" s="4">
        <v>144.9</v>
      </c>
      <c r="H237" s="4">
        <v>119.9</v>
      </c>
      <c r="I237" s="4">
        <v>153.9</v>
      </c>
      <c r="J237" s="4">
        <v>189.1</v>
      </c>
      <c r="K237" s="4">
        <v>129.80000000000001</v>
      </c>
      <c r="L237" s="4">
        <v>112.7</v>
      </c>
      <c r="M237" s="4">
        <v>142.5</v>
      </c>
      <c r="N237" s="4">
        <v>129.80000000000001</v>
      </c>
      <c r="O237" s="4">
        <v>156.19999999999999</v>
      </c>
      <c r="P237" s="4">
        <v>149.1</v>
      </c>
      <c r="Q237" s="4">
        <v>167.9</v>
      </c>
      <c r="R237" s="4">
        <v>145</v>
      </c>
      <c r="S237" s="4">
        <v>132.19999999999999</v>
      </c>
      <c r="T237" s="4">
        <v>143</v>
      </c>
      <c r="U237" s="4">
        <v>151.6</v>
      </c>
      <c r="V237" s="4">
        <v>125.5</v>
      </c>
      <c r="W237" s="4">
        <v>138.1</v>
      </c>
      <c r="X237" s="4">
        <v>141.5</v>
      </c>
      <c r="Y237" s="4">
        <v>120.8</v>
      </c>
      <c r="Z237" s="4">
        <v>135.4</v>
      </c>
      <c r="AA237" s="4">
        <v>151.5</v>
      </c>
      <c r="AB237" s="4">
        <v>137.80000000000001</v>
      </c>
      <c r="AC237" s="4">
        <v>135.30000000000001</v>
      </c>
      <c r="AD237" s="4">
        <v>144.19999999999999</v>
      </c>
    </row>
    <row r="238" spans="1:30" hidden="1" x14ac:dyDescent="0.3">
      <c r="A238" t="s">
        <v>34</v>
      </c>
      <c r="B238">
        <v>2019</v>
      </c>
      <c r="C238" t="s">
        <v>41</v>
      </c>
      <c r="D238" s="4">
        <v>140.1</v>
      </c>
      <c r="E238" s="4">
        <v>160.6</v>
      </c>
      <c r="F238" s="4">
        <v>138.5</v>
      </c>
      <c r="G238" s="4">
        <v>144.69999999999999</v>
      </c>
      <c r="H238" s="4">
        <v>122.9</v>
      </c>
      <c r="I238" s="4">
        <v>149.4</v>
      </c>
      <c r="J238" s="4">
        <v>167.4</v>
      </c>
      <c r="K238" s="4">
        <v>130.9</v>
      </c>
      <c r="L238" s="4">
        <v>112</v>
      </c>
      <c r="M238" s="4">
        <v>142.6</v>
      </c>
      <c r="N238" s="4">
        <v>134.9</v>
      </c>
      <c r="O238" s="4">
        <v>156.6</v>
      </c>
      <c r="P238" s="4">
        <v>145.9</v>
      </c>
      <c r="Q238" s="4">
        <v>165.8</v>
      </c>
      <c r="R238" s="4">
        <v>149.1</v>
      </c>
      <c r="S238" s="4">
        <v>140.6</v>
      </c>
      <c r="T238" s="4">
        <v>147.9</v>
      </c>
      <c r="U238" s="4">
        <v>151.6</v>
      </c>
      <c r="V238" s="4">
        <v>138.5</v>
      </c>
      <c r="W238" s="4">
        <v>144.5</v>
      </c>
      <c r="X238" s="4">
        <v>148.5</v>
      </c>
      <c r="Y238" s="4">
        <v>125.8</v>
      </c>
      <c r="Z238" s="4">
        <v>140.9</v>
      </c>
      <c r="AA238" s="4">
        <v>154.9</v>
      </c>
      <c r="AB238" s="4">
        <v>138.4</v>
      </c>
      <c r="AC238" s="4">
        <v>140.19999999999999</v>
      </c>
      <c r="AD238" s="4">
        <v>145</v>
      </c>
    </row>
    <row r="239" spans="1:30" hidden="1" x14ac:dyDescent="0.3">
      <c r="A239" t="s">
        <v>30</v>
      </c>
      <c r="B239">
        <v>2019</v>
      </c>
      <c r="C239" t="s">
        <v>42</v>
      </c>
      <c r="D239" s="4">
        <v>140.1</v>
      </c>
      <c r="E239" s="4">
        <v>161.9</v>
      </c>
      <c r="F239" s="4">
        <v>138.30000000000001</v>
      </c>
      <c r="G239" s="4">
        <v>145.69999999999999</v>
      </c>
      <c r="H239" s="4">
        <v>125.1</v>
      </c>
      <c r="I239" s="4">
        <v>143.80000000000001</v>
      </c>
      <c r="J239" s="4">
        <v>163.4</v>
      </c>
      <c r="K239" s="4">
        <v>132.19999999999999</v>
      </c>
      <c r="L239" s="4">
        <v>112.8</v>
      </c>
      <c r="M239" s="4">
        <v>144.19999999999999</v>
      </c>
      <c r="N239" s="4">
        <v>138.5</v>
      </c>
      <c r="O239" s="4">
        <v>157.19999999999999</v>
      </c>
      <c r="P239" s="4">
        <v>145.5</v>
      </c>
      <c r="Q239" s="4">
        <v>165.7</v>
      </c>
      <c r="R239" s="4">
        <v>151.69999999999999</v>
      </c>
      <c r="S239" s="4">
        <v>146.6</v>
      </c>
      <c r="T239" s="4">
        <v>151</v>
      </c>
      <c r="U239" s="4">
        <v>152.19999999999999</v>
      </c>
      <c r="V239" s="4">
        <v>146.9</v>
      </c>
      <c r="W239" s="4">
        <v>150.30000000000001</v>
      </c>
      <c r="X239" s="4">
        <v>153.4</v>
      </c>
      <c r="Y239" s="4">
        <v>131.6</v>
      </c>
      <c r="Z239" s="4">
        <v>148.30000000000001</v>
      </c>
      <c r="AA239" s="4">
        <v>160.19999999999999</v>
      </c>
      <c r="AB239" s="4">
        <v>140.19999999999999</v>
      </c>
      <c r="AC239" s="4">
        <v>145.4</v>
      </c>
      <c r="AD239" s="4">
        <v>146.69999999999999</v>
      </c>
    </row>
    <row r="240" spans="1:30" hidden="1" x14ac:dyDescent="0.3">
      <c r="A240" t="s">
        <v>33</v>
      </c>
      <c r="B240">
        <v>2019</v>
      </c>
      <c r="C240" t="s">
        <v>42</v>
      </c>
      <c r="D240" s="4">
        <v>142.69999999999999</v>
      </c>
      <c r="E240" s="4">
        <v>158.69999999999999</v>
      </c>
      <c r="F240" s="4">
        <v>141.6</v>
      </c>
      <c r="G240" s="4">
        <v>144.9</v>
      </c>
      <c r="H240" s="4">
        <v>120.8</v>
      </c>
      <c r="I240" s="4">
        <v>149.80000000000001</v>
      </c>
      <c r="J240" s="4">
        <v>192.4</v>
      </c>
      <c r="K240" s="4">
        <v>130.30000000000001</v>
      </c>
      <c r="L240" s="4">
        <v>114</v>
      </c>
      <c r="M240" s="4">
        <v>143.80000000000001</v>
      </c>
      <c r="N240" s="4">
        <v>130</v>
      </c>
      <c r="O240" s="4">
        <v>156.4</v>
      </c>
      <c r="P240" s="4">
        <v>149.5</v>
      </c>
      <c r="Q240" s="4">
        <v>168.6</v>
      </c>
      <c r="R240" s="4">
        <v>145.30000000000001</v>
      </c>
      <c r="S240" s="4">
        <v>132.19999999999999</v>
      </c>
      <c r="T240" s="4">
        <v>143.30000000000001</v>
      </c>
      <c r="U240" s="4">
        <v>152.19999999999999</v>
      </c>
      <c r="V240" s="4">
        <v>126.6</v>
      </c>
      <c r="W240" s="4">
        <v>138.30000000000001</v>
      </c>
      <c r="X240" s="4">
        <v>141.9</v>
      </c>
      <c r="Y240" s="4">
        <v>121.2</v>
      </c>
      <c r="Z240" s="4">
        <v>135.9</v>
      </c>
      <c r="AA240" s="4">
        <v>151.6</v>
      </c>
      <c r="AB240" s="4">
        <v>139</v>
      </c>
      <c r="AC240" s="4">
        <v>135.69999999999999</v>
      </c>
      <c r="AD240" s="4">
        <v>144.69999999999999</v>
      </c>
    </row>
    <row r="241" spans="1:30" hidden="1" x14ac:dyDescent="0.3">
      <c r="A241" t="s">
        <v>34</v>
      </c>
      <c r="B241">
        <v>2019</v>
      </c>
      <c r="C241" t="s">
        <v>42</v>
      </c>
      <c r="D241" s="4">
        <v>140.9</v>
      </c>
      <c r="E241" s="4">
        <v>160.80000000000001</v>
      </c>
      <c r="F241" s="4">
        <v>139.6</v>
      </c>
      <c r="G241" s="4">
        <v>145.4</v>
      </c>
      <c r="H241" s="4">
        <v>123.5</v>
      </c>
      <c r="I241" s="4">
        <v>146.6</v>
      </c>
      <c r="J241" s="4">
        <v>173.2</v>
      </c>
      <c r="K241" s="4">
        <v>131.6</v>
      </c>
      <c r="L241" s="4">
        <v>113.2</v>
      </c>
      <c r="M241" s="4">
        <v>144.1</v>
      </c>
      <c r="N241" s="4">
        <v>135</v>
      </c>
      <c r="O241" s="4">
        <v>156.80000000000001</v>
      </c>
      <c r="P241" s="4">
        <v>147</v>
      </c>
      <c r="Q241" s="4">
        <v>166.5</v>
      </c>
      <c r="R241" s="4">
        <v>149.19999999999999</v>
      </c>
      <c r="S241" s="4">
        <v>140.6</v>
      </c>
      <c r="T241" s="4">
        <v>147.9</v>
      </c>
      <c r="U241" s="4">
        <v>152.19999999999999</v>
      </c>
      <c r="V241" s="4">
        <v>139.19999999999999</v>
      </c>
      <c r="W241" s="4">
        <v>144.6</v>
      </c>
      <c r="X241" s="4">
        <v>149</v>
      </c>
      <c r="Y241" s="4">
        <v>126.1</v>
      </c>
      <c r="Z241" s="4">
        <v>141.30000000000001</v>
      </c>
      <c r="AA241" s="4">
        <v>155.19999999999999</v>
      </c>
      <c r="AB241" s="4">
        <v>139.69999999999999</v>
      </c>
      <c r="AC241" s="4">
        <v>140.69999999999999</v>
      </c>
      <c r="AD241" s="4">
        <v>145.80000000000001</v>
      </c>
    </row>
    <row r="242" spans="1:30" hidden="1" x14ac:dyDescent="0.3">
      <c r="A242" t="s">
        <v>30</v>
      </c>
      <c r="B242">
        <v>2019</v>
      </c>
      <c r="C242" t="s">
        <v>43</v>
      </c>
      <c r="D242" s="4">
        <v>141</v>
      </c>
      <c r="E242" s="4">
        <v>161.6</v>
      </c>
      <c r="F242" s="4">
        <v>141.19999999999999</v>
      </c>
      <c r="G242" s="4">
        <v>146.5</v>
      </c>
      <c r="H242" s="4">
        <v>125.6</v>
      </c>
      <c r="I242" s="4">
        <v>145.69999999999999</v>
      </c>
      <c r="J242" s="4">
        <v>178.8</v>
      </c>
      <c r="K242" s="4">
        <v>133.1</v>
      </c>
      <c r="L242" s="4">
        <v>113.6</v>
      </c>
      <c r="M242" s="4">
        <v>145.5</v>
      </c>
      <c r="N242" s="4">
        <v>138.6</v>
      </c>
      <c r="O242" s="4">
        <v>157.4</v>
      </c>
      <c r="P242" s="4">
        <v>148.30000000000001</v>
      </c>
      <c r="Q242" s="4">
        <v>166.3</v>
      </c>
      <c r="R242" s="4">
        <v>151.69999999999999</v>
      </c>
      <c r="S242" s="4">
        <v>146.69999999999999</v>
      </c>
      <c r="T242" s="4">
        <v>151</v>
      </c>
      <c r="U242" s="4">
        <v>153</v>
      </c>
      <c r="V242" s="4">
        <v>147.69999999999999</v>
      </c>
      <c r="W242" s="4">
        <v>150.6</v>
      </c>
      <c r="X242" s="4">
        <v>153.69999999999999</v>
      </c>
      <c r="Y242" s="4">
        <v>131.69999999999999</v>
      </c>
      <c r="Z242" s="4">
        <v>148.69999999999999</v>
      </c>
      <c r="AA242" s="4">
        <v>160.69999999999999</v>
      </c>
      <c r="AB242" s="4">
        <v>140.30000000000001</v>
      </c>
      <c r="AC242" s="4">
        <v>145.69999999999999</v>
      </c>
      <c r="AD242" s="4">
        <v>148.30000000000001</v>
      </c>
    </row>
    <row r="243" spans="1:30" hidden="1" x14ac:dyDescent="0.3">
      <c r="A243" t="s">
        <v>33</v>
      </c>
      <c r="B243">
        <v>2019</v>
      </c>
      <c r="C243" t="s">
        <v>43</v>
      </c>
      <c r="D243" s="4">
        <v>143.5</v>
      </c>
      <c r="E243" s="4">
        <v>159.80000000000001</v>
      </c>
      <c r="F243" s="4">
        <v>144.69999999999999</v>
      </c>
      <c r="G243" s="4">
        <v>145.6</v>
      </c>
      <c r="H243" s="4">
        <v>121.1</v>
      </c>
      <c r="I243" s="4">
        <v>150.6</v>
      </c>
      <c r="J243" s="4">
        <v>207.2</v>
      </c>
      <c r="K243" s="4">
        <v>131.19999999999999</v>
      </c>
      <c r="L243" s="4">
        <v>114.8</v>
      </c>
      <c r="M243" s="4">
        <v>145.19999999999999</v>
      </c>
      <c r="N243" s="4">
        <v>130.19999999999999</v>
      </c>
      <c r="O243" s="4">
        <v>156.80000000000001</v>
      </c>
      <c r="P243" s="4">
        <v>151.9</v>
      </c>
      <c r="Q243" s="4">
        <v>169.3</v>
      </c>
      <c r="R243" s="4">
        <v>145.9</v>
      </c>
      <c r="S243" s="4">
        <v>132.4</v>
      </c>
      <c r="T243" s="4">
        <v>143.9</v>
      </c>
      <c r="U243" s="4">
        <v>153</v>
      </c>
      <c r="V243" s="4">
        <v>128.9</v>
      </c>
      <c r="W243" s="4">
        <v>138.69999999999999</v>
      </c>
      <c r="X243" s="4">
        <v>142.4</v>
      </c>
      <c r="Y243" s="4">
        <v>121.5</v>
      </c>
      <c r="Z243" s="4">
        <v>136.19999999999999</v>
      </c>
      <c r="AA243" s="4">
        <v>151.69999999999999</v>
      </c>
      <c r="AB243" s="4">
        <v>139.5</v>
      </c>
      <c r="AC243" s="4">
        <v>136</v>
      </c>
      <c r="AD243" s="4">
        <v>146</v>
      </c>
    </row>
    <row r="244" spans="1:30" hidden="1" x14ac:dyDescent="0.3">
      <c r="A244" t="s">
        <v>34</v>
      </c>
      <c r="B244">
        <v>2019</v>
      </c>
      <c r="C244" t="s">
        <v>43</v>
      </c>
      <c r="D244" s="4">
        <v>141.80000000000001</v>
      </c>
      <c r="E244" s="4">
        <v>161</v>
      </c>
      <c r="F244" s="4">
        <v>142.6</v>
      </c>
      <c r="G244" s="4">
        <v>146.19999999999999</v>
      </c>
      <c r="H244" s="4">
        <v>123.9</v>
      </c>
      <c r="I244" s="4">
        <v>148</v>
      </c>
      <c r="J244" s="4">
        <v>188.4</v>
      </c>
      <c r="K244" s="4">
        <v>132.5</v>
      </c>
      <c r="L244" s="4">
        <v>114</v>
      </c>
      <c r="M244" s="4">
        <v>145.4</v>
      </c>
      <c r="N244" s="4">
        <v>135.1</v>
      </c>
      <c r="O244" s="4">
        <v>157.1</v>
      </c>
      <c r="P244" s="4">
        <v>149.6</v>
      </c>
      <c r="Q244" s="4">
        <v>167.1</v>
      </c>
      <c r="R244" s="4">
        <v>149.4</v>
      </c>
      <c r="S244" s="4">
        <v>140.80000000000001</v>
      </c>
      <c r="T244" s="4">
        <v>148.19999999999999</v>
      </c>
      <c r="U244" s="4">
        <v>153</v>
      </c>
      <c r="V244" s="4">
        <v>140.6</v>
      </c>
      <c r="W244" s="4">
        <v>145</v>
      </c>
      <c r="X244" s="4">
        <v>149.4</v>
      </c>
      <c r="Y244" s="4">
        <v>126.3</v>
      </c>
      <c r="Z244" s="4">
        <v>141.69999999999999</v>
      </c>
      <c r="AA244" s="4">
        <v>155.4</v>
      </c>
      <c r="AB244" s="4">
        <v>140</v>
      </c>
      <c r="AC244" s="4">
        <v>141</v>
      </c>
      <c r="AD244" s="4">
        <v>147.19999999999999</v>
      </c>
    </row>
    <row r="245" spans="1:30" hidden="1" x14ac:dyDescent="0.3">
      <c r="A245" t="s">
        <v>30</v>
      </c>
      <c r="B245">
        <v>2019</v>
      </c>
      <c r="C245" t="s">
        <v>45</v>
      </c>
      <c r="D245" s="4">
        <v>141.80000000000001</v>
      </c>
      <c r="E245" s="4">
        <v>163.69999999999999</v>
      </c>
      <c r="F245" s="4">
        <v>143.80000000000001</v>
      </c>
      <c r="G245" s="4">
        <v>147.1</v>
      </c>
      <c r="H245" s="4">
        <v>126</v>
      </c>
      <c r="I245" s="4">
        <v>146.19999999999999</v>
      </c>
      <c r="J245" s="4">
        <v>191.4</v>
      </c>
      <c r="K245" s="4">
        <v>136.19999999999999</v>
      </c>
      <c r="L245" s="4">
        <v>113.8</v>
      </c>
      <c r="M245" s="4">
        <v>147.30000000000001</v>
      </c>
      <c r="N245" s="4">
        <v>138.69999999999999</v>
      </c>
      <c r="O245" s="4">
        <v>157.69999999999999</v>
      </c>
      <c r="P245" s="4">
        <v>150.9</v>
      </c>
      <c r="Q245" s="4">
        <v>167.2</v>
      </c>
      <c r="R245" s="4">
        <v>152.30000000000001</v>
      </c>
      <c r="S245" s="4">
        <v>147</v>
      </c>
      <c r="T245" s="4">
        <v>151.5</v>
      </c>
      <c r="U245" s="4">
        <v>153.5</v>
      </c>
      <c r="V245" s="4">
        <v>148.4</v>
      </c>
      <c r="W245" s="4">
        <v>150.9</v>
      </c>
      <c r="X245" s="4">
        <v>154.30000000000001</v>
      </c>
      <c r="Y245" s="4">
        <v>132.1</v>
      </c>
      <c r="Z245" s="4">
        <v>149.1</v>
      </c>
      <c r="AA245" s="4">
        <v>160.80000000000001</v>
      </c>
      <c r="AB245" s="4">
        <v>140.6</v>
      </c>
      <c r="AC245" s="4">
        <v>146.1</v>
      </c>
      <c r="AD245" s="4">
        <v>149.9</v>
      </c>
    </row>
    <row r="246" spans="1:30" hidden="1" x14ac:dyDescent="0.3">
      <c r="A246" t="s">
        <v>33</v>
      </c>
      <c r="B246">
        <v>2019</v>
      </c>
      <c r="C246" t="s">
        <v>45</v>
      </c>
      <c r="D246" s="4">
        <v>144.1</v>
      </c>
      <c r="E246" s="4">
        <v>162.4</v>
      </c>
      <c r="F246" s="4">
        <v>148.4</v>
      </c>
      <c r="G246" s="4">
        <v>145.9</v>
      </c>
      <c r="H246" s="4">
        <v>121.5</v>
      </c>
      <c r="I246" s="4">
        <v>148.80000000000001</v>
      </c>
      <c r="J246" s="4">
        <v>215.7</v>
      </c>
      <c r="K246" s="4">
        <v>134.6</v>
      </c>
      <c r="L246" s="4">
        <v>115</v>
      </c>
      <c r="M246" s="4">
        <v>146.30000000000001</v>
      </c>
      <c r="N246" s="4">
        <v>130.5</v>
      </c>
      <c r="O246" s="4">
        <v>157.19999999999999</v>
      </c>
      <c r="P246" s="4">
        <v>153.6</v>
      </c>
      <c r="Q246" s="4">
        <v>169.9</v>
      </c>
      <c r="R246" s="4">
        <v>146.30000000000001</v>
      </c>
      <c r="S246" s="4">
        <v>132.6</v>
      </c>
      <c r="T246" s="4">
        <v>144.19999999999999</v>
      </c>
      <c r="U246" s="4">
        <v>153.5</v>
      </c>
      <c r="V246" s="4">
        <v>132.19999999999999</v>
      </c>
      <c r="W246" s="4">
        <v>139.1</v>
      </c>
      <c r="X246" s="4">
        <v>142.80000000000001</v>
      </c>
      <c r="Y246" s="4">
        <v>121.7</v>
      </c>
      <c r="Z246" s="4">
        <v>136.69999999999999</v>
      </c>
      <c r="AA246" s="4">
        <v>151.80000000000001</v>
      </c>
      <c r="AB246" s="4">
        <v>139.80000000000001</v>
      </c>
      <c r="AC246" s="4">
        <v>136.30000000000001</v>
      </c>
      <c r="AD246" s="4">
        <v>147</v>
      </c>
    </row>
    <row r="247" spans="1:30" hidden="1" x14ac:dyDescent="0.3">
      <c r="A247" t="s">
        <v>34</v>
      </c>
      <c r="B247">
        <v>2019</v>
      </c>
      <c r="C247" t="s">
        <v>45</v>
      </c>
      <c r="D247" s="4">
        <v>142.5</v>
      </c>
      <c r="E247" s="4">
        <v>163.19999999999999</v>
      </c>
      <c r="F247" s="4">
        <v>145.6</v>
      </c>
      <c r="G247" s="4">
        <v>146.69999999999999</v>
      </c>
      <c r="H247" s="4">
        <v>124.3</v>
      </c>
      <c r="I247" s="4">
        <v>147.4</v>
      </c>
      <c r="J247" s="4">
        <v>199.6</v>
      </c>
      <c r="K247" s="4">
        <v>135.69999999999999</v>
      </c>
      <c r="L247" s="4">
        <v>114.2</v>
      </c>
      <c r="M247" s="4">
        <v>147</v>
      </c>
      <c r="N247" s="4">
        <v>135.30000000000001</v>
      </c>
      <c r="O247" s="4">
        <v>157.5</v>
      </c>
      <c r="P247" s="4">
        <v>151.9</v>
      </c>
      <c r="Q247" s="4">
        <v>167.9</v>
      </c>
      <c r="R247" s="4">
        <v>149.9</v>
      </c>
      <c r="S247" s="4">
        <v>141</v>
      </c>
      <c r="T247" s="4">
        <v>148.6</v>
      </c>
      <c r="U247" s="4">
        <v>153.5</v>
      </c>
      <c r="V247" s="4">
        <v>142.30000000000001</v>
      </c>
      <c r="W247" s="4">
        <v>145.30000000000001</v>
      </c>
      <c r="X247" s="4">
        <v>149.9</v>
      </c>
      <c r="Y247" s="4">
        <v>126.6</v>
      </c>
      <c r="Z247" s="4">
        <v>142.1</v>
      </c>
      <c r="AA247" s="4">
        <v>155.5</v>
      </c>
      <c r="AB247" s="4">
        <v>140.30000000000001</v>
      </c>
      <c r="AC247" s="4">
        <v>141.30000000000001</v>
      </c>
      <c r="AD247" s="4">
        <v>148.6</v>
      </c>
    </row>
    <row r="248" spans="1:30" hidden="1" x14ac:dyDescent="0.3">
      <c r="A248" t="s">
        <v>30</v>
      </c>
      <c r="B248">
        <v>2019</v>
      </c>
      <c r="C248" t="s">
        <v>46</v>
      </c>
      <c r="D248" s="4">
        <v>142.80000000000001</v>
      </c>
      <c r="E248" s="4">
        <v>165.3</v>
      </c>
      <c r="F248" s="4">
        <v>149.5</v>
      </c>
      <c r="G248" s="4">
        <v>148.69999999999999</v>
      </c>
      <c r="H248" s="4">
        <v>127.5</v>
      </c>
      <c r="I248" s="4">
        <v>144.30000000000001</v>
      </c>
      <c r="J248" s="4">
        <v>209.5</v>
      </c>
      <c r="K248" s="4">
        <v>138.80000000000001</v>
      </c>
      <c r="L248" s="4">
        <v>113.6</v>
      </c>
      <c r="M248" s="4">
        <v>149.1</v>
      </c>
      <c r="N248" s="4">
        <v>139.30000000000001</v>
      </c>
      <c r="O248" s="4">
        <v>158.30000000000001</v>
      </c>
      <c r="P248" s="4">
        <v>154.30000000000001</v>
      </c>
      <c r="Q248" s="4">
        <v>167.8</v>
      </c>
      <c r="R248" s="4">
        <v>152.6</v>
      </c>
      <c r="S248" s="4">
        <v>147.30000000000001</v>
      </c>
      <c r="T248" s="4">
        <v>151.9</v>
      </c>
      <c r="U248" s="4">
        <v>152.80000000000001</v>
      </c>
      <c r="V248" s="4">
        <v>149.9</v>
      </c>
      <c r="W248" s="4">
        <v>151.19999999999999</v>
      </c>
      <c r="X248" s="4">
        <v>154.80000000000001</v>
      </c>
      <c r="Y248" s="4">
        <v>135</v>
      </c>
      <c r="Z248" s="4">
        <v>149.5</v>
      </c>
      <c r="AA248" s="4">
        <v>161.1</v>
      </c>
      <c r="AB248" s="4">
        <v>140.6</v>
      </c>
      <c r="AC248" s="4">
        <v>147.1</v>
      </c>
      <c r="AD248" s="4">
        <v>152.30000000000001</v>
      </c>
    </row>
    <row r="249" spans="1:30" hidden="1" x14ac:dyDescent="0.3">
      <c r="A249" t="s">
        <v>33</v>
      </c>
      <c r="B249">
        <v>2019</v>
      </c>
      <c r="C249" t="s">
        <v>46</v>
      </c>
      <c r="D249" s="4">
        <v>144.9</v>
      </c>
      <c r="E249" s="4">
        <v>164.5</v>
      </c>
      <c r="F249" s="4">
        <v>153.69999999999999</v>
      </c>
      <c r="G249" s="4">
        <v>147.5</v>
      </c>
      <c r="H249" s="4">
        <v>122.7</v>
      </c>
      <c r="I249" s="4">
        <v>147.19999999999999</v>
      </c>
      <c r="J249" s="4">
        <v>231.5</v>
      </c>
      <c r="K249" s="4">
        <v>137.19999999999999</v>
      </c>
      <c r="L249" s="4">
        <v>114.7</v>
      </c>
      <c r="M249" s="4">
        <v>148</v>
      </c>
      <c r="N249" s="4">
        <v>130.80000000000001</v>
      </c>
      <c r="O249" s="4">
        <v>157.69999999999999</v>
      </c>
      <c r="P249" s="4">
        <v>156.30000000000001</v>
      </c>
      <c r="Q249" s="4">
        <v>170.4</v>
      </c>
      <c r="R249" s="4">
        <v>146.80000000000001</v>
      </c>
      <c r="S249" s="4">
        <v>132.80000000000001</v>
      </c>
      <c r="T249" s="4">
        <v>144.6</v>
      </c>
      <c r="U249" s="4">
        <v>152.80000000000001</v>
      </c>
      <c r="V249" s="4">
        <v>133.6</v>
      </c>
      <c r="W249" s="4">
        <v>139.80000000000001</v>
      </c>
      <c r="X249" s="4">
        <v>143.19999999999999</v>
      </c>
      <c r="Y249" s="4">
        <v>125.2</v>
      </c>
      <c r="Z249" s="4">
        <v>136.80000000000001</v>
      </c>
      <c r="AA249" s="4">
        <v>151.9</v>
      </c>
      <c r="AB249" s="4">
        <v>140.19999999999999</v>
      </c>
      <c r="AC249" s="4">
        <v>137.69999999999999</v>
      </c>
      <c r="AD249" s="4">
        <v>148.30000000000001</v>
      </c>
    </row>
    <row r="250" spans="1:30" hidden="1" x14ac:dyDescent="0.3">
      <c r="A250" t="s">
        <v>34</v>
      </c>
      <c r="B250">
        <v>2019</v>
      </c>
      <c r="C250" t="s">
        <v>46</v>
      </c>
      <c r="D250" s="4">
        <v>143.5</v>
      </c>
      <c r="E250" s="4">
        <v>165</v>
      </c>
      <c r="F250" s="4">
        <v>151.1</v>
      </c>
      <c r="G250" s="4">
        <v>148.30000000000001</v>
      </c>
      <c r="H250" s="4">
        <v>125.7</v>
      </c>
      <c r="I250" s="4">
        <v>145.69999999999999</v>
      </c>
      <c r="J250" s="4">
        <v>217</v>
      </c>
      <c r="K250" s="4">
        <v>138.30000000000001</v>
      </c>
      <c r="L250" s="4">
        <v>114</v>
      </c>
      <c r="M250" s="4">
        <v>148.69999999999999</v>
      </c>
      <c r="N250" s="4">
        <v>135.80000000000001</v>
      </c>
      <c r="O250" s="4">
        <v>158</v>
      </c>
      <c r="P250" s="4">
        <v>155</v>
      </c>
      <c r="Q250" s="4">
        <v>168.5</v>
      </c>
      <c r="R250" s="4">
        <v>150.30000000000001</v>
      </c>
      <c r="S250" s="4">
        <v>141.30000000000001</v>
      </c>
      <c r="T250" s="4">
        <v>149</v>
      </c>
      <c r="U250" s="4">
        <v>152.80000000000001</v>
      </c>
      <c r="V250" s="4">
        <v>143.69999999999999</v>
      </c>
      <c r="W250" s="4">
        <v>145.80000000000001</v>
      </c>
      <c r="X250" s="4">
        <v>150.4</v>
      </c>
      <c r="Y250" s="4">
        <v>129.80000000000001</v>
      </c>
      <c r="Z250" s="4">
        <v>142.30000000000001</v>
      </c>
      <c r="AA250" s="4">
        <v>155.69999999999999</v>
      </c>
      <c r="AB250" s="4">
        <v>140.4</v>
      </c>
      <c r="AC250" s="4">
        <v>142.5</v>
      </c>
      <c r="AD250" s="4">
        <v>150.4</v>
      </c>
    </row>
    <row r="251" spans="1:30" hidden="1" x14ac:dyDescent="0.3">
      <c r="A251" t="s">
        <v>30</v>
      </c>
      <c r="B251">
        <v>2020</v>
      </c>
      <c r="C251" t="s">
        <v>31</v>
      </c>
      <c r="D251" s="4">
        <v>143.69999999999999</v>
      </c>
      <c r="E251" s="4">
        <v>167.3</v>
      </c>
      <c r="F251" s="4">
        <v>153.5</v>
      </c>
      <c r="G251" s="4">
        <v>150.5</v>
      </c>
      <c r="H251" s="4">
        <v>132</v>
      </c>
      <c r="I251" s="4">
        <v>142.19999999999999</v>
      </c>
      <c r="J251" s="4">
        <v>191.5</v>
      </c>
      <c r="K251" s="4">
        <v>141.1</v>
      </c>
      <c r="L251" s="4">
        <v>113.8</v>
      </c>
      <c r="M251" s="4">
        <v>151.6</v>
      </c>
      <c r="N251" s="4">
        <v>139.69999999999999</v>
      </c>
      <c r="O251" s="4">
        <v>158.69999999999999</v>
      </c>
      <c r="P251" s="4">
        <v>153</v>
      </c>
      <c r="Q251" s="4">
        <v>168.6</v>
      </c>
      <c r="R251" s="4">
        <v>152.80000000000001</v>
      </c>
      <c r="S251" s="4">
        <v>147.4</v>
      </c>
      <c r="T251" s="4">
        <v>152.1</v>
      </c>
      <c r="U251" s="4">
        <v>153.9</v>
      </c>
      <c r="V251" s="4">
        <v>150.4</v>
      </c>
      <c r="W251" s="4">
        <v>151.69999999999999</v>
      </c>
      <c r="X251" s="4">
        <v>155.69999999999999</v>
      </c>
      <c r="Y251" s="4">
        <v>136.30000000000001</v>
      </c>
      <c r="Z251" s="4">
        <v>150.1</v>
      </c>
      <c r="AA251" s="4">
        <v>161.69999999999999</v>
      </c>
      <c r="AB251" s="4">
        <v>142.5</v>
      </c>
      <c r="AC251" s="4">
        <v>148.1</v>
      </c>
      <c r="AD251" s="4">
        <v>151.9</v>
      </c>
    </row>
    <row r="252" spans="1:30" hidden="1" x14ac:dyDescent="0.3">
      <c r="A252" t="s">
        <v>33</v>
      </c>
      <c r="B252">
        <v>2020</v>
      </c>
      <c r="C252" t="s">
        <v>31</v>
      </c>
      <c r="D252" s="4">
        <v>145.6</v>
      </c>
      <c r="E252" s="4">
        <v>167.6</v>
      </c>
      <c r="F252" s="4">
        <v>157</v>
      </c>
      <c r="G252" s="4">
        <v>149.30000000000001</v>
      </c>
      <c r="H252" s="4">
        <v>126.3</v>
      </c>
      <c r="I252" s="4">
        <v>144.4</v>
      </c>
      <c r="J252" s="4">
        <v>207.8</v>
      </c>
      <c r="K252" s="4">
        <v>139.1</v>
      </c>
      <c r="L252" s="4">
        <v>114.8</v>
      </c>
      <c r="M252" s="4">
        <v>149.5</v>
      </c>
      <c r="N252" s="4">
        <v>131.1</v>
      </c>
      <c r="O252" s="4">
        <v>158.5</v>
      </c>
      <c r="P252" s="4">
        <v>154.4</v>
      </c>
      <c r="Q252" s="4">
        <v>170.8</v>
      </c>
      <c r="R252" s="4">
        <v>147</v>
      </c>
      <c r="S252" s="4">
        <v>133.19999999999999</v>
      </c>
      <c r="T252" s="4">
        <v>144.9</v>
      </c>
      <c r="U252" s="4">
        <v>153.9</v>
      </c>
      <c r="V252" s="4">
        <v>135.1</v>
      </c>
      <c r="W252" s="4">
        <v>140.1</v>
      </c>
      <c r="X252" s="4">
        <v>143.80000000000001</v>
      </c>
      <c r="Y252" s="4">
        <v>126.1</v>
      </c>
      <c r="Z252" s="4">
        <v>137.19999999999999</v>
      </c>
      <c r="AA252" s="4">
        <v>152.1</v>
      </c>
      <c r="AB252" s="4">
        <v>142.1</v>
      </c>
      <c r="AC252" s="4">
        <v>138.4</v>
      </c>
      <c r="AD252" s="4">
        <v>148.19999999999999</v>
      </c>
    </row>
    <row r="253" spans="1:30" hidden="1" x14ac:dyDescent="0.3">
      <c r="A253" t="s">
        <v>34</v>
      </c>
      <c r="B253">
        <v>2020</v>
      </c>
      <c r="C253" t="s">
        <v>31</v>
      </c>
      <c r="D253" s="4">
        <v>144.30000000000001</v>
      </c>
      <c r="E253" s="4">
        <v>167.4</v>
      </c>
      <c r="F253" s="4">
        <v>154.9</v>
      </c>
      <c r="G253" s="4">
        <v>150.1</v>
      </c>
      <c r="H253" s="4">
        <v>129.9</v>
      </c>
      <c r="I253" s="4">
        <v>143.19999999999999</v>
      </c>
      <c r="J253" s="4">
        <v>197</v>
      </c>
      <c r="K253" s="4">
        <v>140.4</v>
      </c>
      <c r="L253" s="4">
        <v>114.1</v>
      </c>
      <c r="M253" s="4">
        <v>150.9</v>
      </c>
      <c r="N253" s="4">
        <v>136.1</v>
      </c>
      <c r="O253" s="4">
        <v>158.6</v>
      </c>
      <c r="P253" s="4">
        <v>153.5</v>
      </c>
      <c r="Q253" s="4">
        <v>169.2</v>
      </c>
      <c r="R253" s="4">
        <v>150.5</v>
      </c>
      <c r="S253" s="4">
        <v>141.5</v>
      </c>
      <c r="T253" s="4">
        <v>149.19999999999999</v>
      </c>
      <c r="U253" s="4">
        <v>153.9</v>
      </c>
      <c r="V253" s="4">
        <v>144.6</v>
      </c>
      <c r="W253" s="4">
        <v>146.19999999999999</v>
      </c>
      <c r="X253" s="4">
        <v>151.19999999999999</v>
      </c>
      <c r="Y253" s="4">
        <v>130.9</v>
      </c>
      <c r="Z253" s="4">
        <v>142.80000000000001</v>
      </c>
      <c r="AA253" s="4">
        <v>156.1</v>
      </c>
      <c r="AB253" s="4">
        <v>142.30000000000001</v>
      </c>
      <c r="AC253" s="4">
        <v>143.4</v>
      </c>
      <c r="AD253" s="4">
        <v>150.19999999999999</v>
      </c>
    </row>
    <row r="254" spans="1:30" hidden="1" x14ac:dyDescent="0.3">
      <c r="A254" t="s">
        <v>30</v>
      </c>
      <c r="B254">
        <v>2020</v>
      </c>
      <c r="C254" t="s">
        <v>35</v>
      </c>
      <c r="D254" s="4">
        <v>144.19999999999999</v>
      </c>
      <c r="E254" s="4">
        <v>167.5</v>
      </c>
      <c r="F254" s="4">
        <v>150.9</v>
      </c>
      <c r="G254" s="4">
        <v>150.9</v>
      </c>
      <c r="H254" s="4">
        <v>133.69999999999999</v>
      </c>
      <c r="I254" s="4">
        <v>140.69999999999999</v>
      </c>
      <c r="J254" s="4">
        <v>165.1</v>
      </c>
      <c r="K254" s="4">
        <v>141.80000000000001</v>
      </c>
      <c r="L254" s="4">
        <v>113.1</v>
      </c>
      <c r="M254" s="4">
        <v>152.80000000000001</v>
      </c>
      <c r="N254" s="4">
        <v>140.1</v>
      </c>
      <c r="O254" s="4">
        <v>159.19999999999999</v>
      </c>
      <c r="P254" s="4">
        <v>149.80000000000001</v>
      </c>
      <c r="Q254" s="4">
        <v>169.4</v>
      </c>
      <c r="R254" s="4">
        <v>153</v>
      </c>
      <c r="S254" s="4">
        <v>147.5</v>
      </c>
      <c r="T254" s="4">
        <v>152.30000000000001</v>
      </c>
      <c r="U254" s="4">
        <v>154.80000000000001</v>
      </c>
      <c r="V254" s="4">
        <v>152.30000000000001</v>
      </c>
      <c r="W254" s="4">
        <v>151.80000000000001</v>
      </c>
      <c r="X254" s="4">
        <v>156.19999999999999</v>
      </c>
      <c r="Y254" s="4">
        <v>136</v>
      </c>
      <c r="Z254" s="4">
        <v>150.4</v>
      </c>
      <c r="AA254" s="4">
        <v>161.9</v>
      </c>
      <c r="AB254" s="4">
        <v>143.4</v>
      </c>
      <c r="AC254" s="4">
        <v>148.4</v>
      </c>
      <c r="AD254" s="4">
        <v>150.4</v>
      </c>
    </row>
    <row r="255" spans="1:30" hidden="1" x14ac:dyDescent="0.3">
      <c r="A255" t="s">
        <v>33</v>
      </c>
      <c r="B255">
        <v>2020</v>
      </c>
      <c r="C255" t="s">
        <v>35</v>
      </c>
      <c r="D255" s="4">
        <v>146.19999999999999</v>
      </c>
      <c r="E255" s="4">
        <v>167.6</v>
      </c>
      <c r="F255" s="4">
        <v>153.1</v>
      </c>
      <c r="G255" s="4">
        <v>150.69999999999999</v>
      </c>
      <c r="H255" s="4">
        <v>127.4</v>
      </c>
      <c r="I255" s="4">
        <v>143.1</v>
      </c>
      <c r="J255" s="4">
        <v>181.7</v>
      </c>
      <c r="K255" s="4">
        <v>139.6</v>
      </c>
      <c r="L255" s="4">
        <v>114.6</v>
      </c>
      <c r="M255" s="4">
        <v>150.4</v>
      </c>
      <c r="N255" s="4">
        <v>131.5</v>
      </c>
      <c r="O255" s="4">
        <v>159</v>
      </c>
      <c r="P255" s="4">
        <v>151.69999999999999</v>
      </c>
      <c r="Q255" s="4">
        <v>172</v>
      </c>
      <c r="R255" s="4">
        <v>147.30000000000001</v>
      </c>
      <c r="S255" s="4">
        <v>133.5</v>
      </c>
      <c r="T255" s="4">
        <v>145.19999999999999</v>
      </c>
      <c r="U255" s="4">
        <v>154.80000000000001</v>
      </c>
      <c r="V255" s="4">
        <v>138.9</v>
      </c>
      <c r="W255" s="4">
        <v>140.4</v>
      </c>
      <c r="X255" s="4">
        <v>144.4</v>
      </c>
      <c r="Y255" s="4">
        <v>125.2</v>
      </c>
      <c r="Z255" s="4">
        <v>137.69999999999999</v>
      </c>
      <c r="AA255" s="4">
        <v>152.19999999999999</v>
      </c>
      <c r="AB255" s="4">
        <v>143.5</v>
      </c>
      <c r="AC255" s="4">
        <v>138.4</v>
      </c>
      <c r="AD255" s="4">
        <v>147.69999999999999</v>
      </c>
    </row>
    <row r="256" spans="1:30" hidden="1" x14ac:dyDescent="0.3">
      <c r="A256" t="s">
        <v>34</v>
      </c>
      <c r="B256">
        <v>2020</v>
      </c>
      <c r="C256" t="s">
        <v>35</v>
      </c>
      <c r="D256" s="4">
        <v>144.80000000000001</v>
      </c>
      <c r="E256" s="4">
        <v>167.5</v>
      </c>
      <c r="F256" s="4">
        <v>151.80000000000001</v>
      </c>
      <c r="G256" s="4">
        <v>150.80000000000001</v>
      </c>
      <c r="H256" s="4">
        <v>131.4</v>
      </c>
      <c r="I256" s="4">
        <v>141.80000000000001</v>
      </c>
      <c r="J256" s="4">
        <v>170.7</v>
      </c>
      <c r="K256" s="4">
        <v>141.1</v>
      </c>
      <c r="L256" s="4">
        <v>113.6</v>
      </c>
      <c r="M256" s="4">
        <v>152</v>
      </c>
      <c r="N256" s="4">
        <v>136.5</v>
      </c>
      <c r="O256" s="4">
        <v>159.1</v>
      </c>
      <c r="P256" s="4">
        <v>150.5</v>
      </c>
      <c r="Q256" s="4">
        <v>170.1</v>
      </c>
      <c r="R256" s="4">
        <v>150.80000000000001</v>
      </c>
      <c r="S256" s="4">
        <v>141.69999999999999</v>
      </c>
      <c r="T256" s="4">
        <v>149.5</v>
      </c>
      <c r="U256" s="4">
        <v>154.80000000000001</v>
      </c>
      <c r="V256" s="4">
        <v>147.19999999999999</v>
      </c>
      <c r="W256" s="4">
        <v>146.4</v>
      </c>
      <c r="X256" s="4">
        <v>151.69999999999999</v>
      </c>
      <c r="Y256" s="4">
        <v>130.30000000000001</v>
      </c>
      <c r="Z256" s="4">
        <v>143.19999999999999</v>
      </c>
      <c r="AA256" s="4">
        <v>156.19999999999999</v>
      </c>
      <c r="AB256" s="4">
        <v>143.4</v>
      </c>
      <c r="AC256" s="4">
        <v>143.6</v>
      </c>
      <c r="AD256" s="4">
        <v>149.1</v>
      </c>
    </row>
    <row r="257" spans="1:30" hidden="1" x14ac:dyDescent="0.3">
      <c r="A257" t="s">
        <v>30</v>
      </c>
      <c r="B257">
        <v>2020</v>
      </c>
      <c r="C257" t="s">
        <v>36</v>
      </c>
      <c r="D257" s="4">
        <v>144.4</v>
      </c>
      <c r="E257" s="4">
        <v>166.8</v>
      </c>
      <c r="F257" s="4">
        <v>147.6</v>
      </c>
      <c r="G257" s="4">
        <v>151.69999999999999</v>
      </c>
      <c r="H257" s="4">
        <v>133.30000000000001</v>
      </c>
      <c r="I257" s="4">
        <v>141.80000000000001</v>
      </c>
      <c r="J257" s="4">
        <v>152.30000000000001</v>
      </c>
      <c r="K257" s="4">
        <v>141.80000000000001</v>
      </c>
      <c r="L257" s="4">
        <v>112.6</v>
      </c>
      <c r="M257" s="4">
        <v>154</v>
      </c>
      <c r="N257" s="4">
        <v>140.1</v>
      </c>
      <c r="O257" s="4">
        <v>160</v>
      </c>
      <c r="P257" s="4">
        <v>148.19999999999999</v>
      </c>
      <c r="Q257" s="4">
        <v>170.5</v>
      </c>
      <c r="R257" s="4">
        <v>153.4</v>
      </c>
      <c r="S257" s="4">
        <v>147.6</v>
      </c>
      <c r="T257" s="4">
        <v>152.5</v>
      </c>
      <c r="U257" s="4">
        <v>154.5</v>
      </c>
      <c r="V257" s="4">
        <v>153.4</v>
      </c>
      <c r="W257" s="4">
        <v>151.5</v>
      </c>
      <c r="X257" s="4">
        <v>156.69999999999999</v>
      </c>
      <c r="Y257" s="4">
        <v>135.80000000000001</v>
      </c>
      <c r="Z257" s="4">
        <v>151.19999999999999</v>
      </c>
      <c r="AA257" s="4">
        <v>161.19999999999999</v>
      </c>
      <c r="AB257" s="4">
        <v>145.1</v>
      </c>
      <c r="AC257" s="4">
        <v>148.6</v>
      </c>
      <c r="AD257" s="4">
        <v>149.80000000000001</v>
      </c>
    </row>
    <row r="258" spans="1:30" hidden="1" x14ac:dyDescent="0.3">
      <c r="A258" t="s">
        <v>33</v>
      </c>
      <c r="B258">
        <v>2020</v>
      </c>
      <c r="C258" t="s">
        <v>36</v>
      </c>
      <c r="D258" s="4">
        <v>146.5</v>
      </c>
      <c r="E258" s="4">
        <v>167.5</v>
      </c>
      <c r="F258" s="4">
        <v>148.9</v>
      </c>
      <c r="G258" s="4">
        <v>151.1</v>
      </c>
      <c r="H258" s="4">
        <v>127.5</v>
      </c>
      <c r="I258" s="4">
        <v>143.30000000000001</v>
      </c>
      <c r="J258" s="4">
        <v>167</v>
      </c>
      <c r="K258" s="4">
        <v>139.69999999999999</v>
      </c>
      <c r="L258" s="4">
        <v>114.4</v>
      </c>
      <c r="M258" s="4">
        <v>151.5</v>
      </c>
      <c r="N258" s="4">
        <v>131.9</v>
      </c>
      <c r="O258" s="4">
        <v>159.1</v>
      </c>
      <c r="P258" s="4">
        <v>150.1</v>
      </c>
      <c r="Q258" s="4">
        <v>173.3</v>
      </c>
      <c r="R258" s="4">
        <v>147.69999999999999</v>
      </c>
      <c r="S258" s="4">
        <v>133.80000000000001</v>
      </c>
      <c r="T258" s="4">
        <v>145.6</v>
      </c>
      <c r="U258" s="4">
        <v>154.5</v>
      </c>
      <c r="V258" s="4">
        <v>141.4</v>
      </c>
      <c r="W258" s="4">
        <v>140.80000000000001</v>
      </c>
      <c r="X258" s="4">
        <v>145</v>
      </c>
      <c r="Y258" s="4">
        <v>124.6</v>
      </c>
      <c r="Z258" s="4">
        <v>137.9</v>
      </c>
      <c r="AA258" s="4">
        <v>152.5</v>
      </c>
      <c r="AB258" s="4">
        <v>145.30000000000001</v>
      </c>
      <c r="AC258" s="4">
        <v>138.69999999999999</v>
      </c>
      <c r="AD258" s="4">
        <v>147.30000000000001</v>
      </c>
    </row>
    <row r="259" spans="1:30" hidden="1" x14ac:dyDescent="0.3">
      <c r="A259" t="s">
        <v>34</v>
      </c>
      <c r="B259">
        <v>2020</v>
      </c>
      <c r="C259" t="s">
        <v>36</v>
      </c>
      <c r="D259" s="4">
        <v>145.1</v>
      </c>
      <c r="E259" s="4">
        <v>167</v>
      </c>
      <c r="F259" s="4">
        <v>148.1</v>
      </c>
      <c r="G259" s="4">
        <v>151.5</v>
      </c>
      <c r="H259" s="4">
        <v>131.19999999999999</v>
      </c>
      <c r="I259" s="4">
        <v>142.5</v>
      </c>
      <c r="J259" s="4">
        <v>157.30000000000001</v>
      </c>
      <c r="K259" s="4">
        <v>141.1</v>
      </c>
      <c r="L259" s="4">
        <v>113.2</v>
      </c>
      <c r="M259" s="4">
        <v>153.19999999999999</v>
      </c>
      <c r="N259" s="4">
        <v>136.69999999999999</v>
      </c>
      <c r="O259" s="4">
        <v>159.6</v>
      </c>
      <c r="P259" s="4">
        <v>148.9</v>
      </c>
      <c r="Q259" s="4">
        <v>171.2</v>
      </c>
      <c r="R259" s="4">
        <v>151.19999999999999</v>
      </c>
      <c r="S259" s="4">
        <v>141.9</v>
      </c>
      <c r="T259" s="4">
        <v>149.80000000000001</v>
      </c>
      <c r="U259" s="4">
        <v>154.5</v>
      </c>
      <c r="V259" s="4">
        <v>148.9</v>
      </c>
      <c r="W259" s="4">
        <v>146.4</v>
      </c>
      <c r="X259" s="4">
        <v>152.30000000000001</v>
      </c>
      <c r="Y259" s="4">
        <v>129.9</v>
      </c>
      <c r="Z259" s="4">
        <v>143.69999999999999</v>
      </c>
      <c r="AA259" s="4">
        <v>156.1</v>
      </c>
      <c r="AB259" s="4">
        <v>145.19999999999999</v>
      </c>
      <c r="AC259" s="4">
        <v>143.80000000000001</v>
      </c>
      <c r="AD259" s="4">
        <v>148.6</v>
      </c>
    </row>
    <row r="260" spans="1:30" hidden="1" x14ac:dyDescent="0.3">
      <c r="A260" t="s">
        <v>30</v>
      </c>
      <c r="B260">
        <v>2020</v>
      </c>
      <c r="C260" t="s">
        <v>37</v>
      </c>
      <c r="D260" s="4">
        <v>147.19999999999999</v>
      </c>
      <c r="E260" s="4">
        <v>167.36250000000001</v>
      </c>
      <c r="F260" s="4">
        <v>146.9</v>
      </c>
      <c r="G260" s="4">
        <v>155.6</v>
      </c>
      <c r="H260" s="4">
        <v>137.1</v>
      </c>
      <c r="I260" s="4">
        <v>147.30000000000001</v>
      </c>
      <c r="J260" s="4">
        <v>162.69999999999999</v>
      </c>
      <c r="K260" s="4">
        <v>150.19999999999999</v>
      </c>
      <c r="L260" s="4">
        <v>119.8</v>
      </c>
      <c r="M260" s="4">
        <v>158.69999999999999</v>
      </c>
      <c r="N260" s="4">
        <v>139.19999999999999</v>
      </c>
      <c r="O260" s="4">
        <v>159.13749999999999</v>
      </c>
      <c r="P260" s="4">
        <v>150.1</v>
      </c>
      <c r="Q260" s="4">
        <v>170.8125</v>
      </c>
      <c r="R260" s="4">
        <v>150.11249999999998</v>
      </c>
      <c r="S260" s="4">
        <v>140.08750000000003</v>
      </c>
      <c r="T260" s="4">
        <v>148.625</v>
      </c>
      <c r="U260" s="4">
        <v>155.6</v>
      </c>
      <c r="V260" s="4">
        <v>148.4</v>
      </c>
      <c r="W260" s="4">
        <v>145.45000000000002</v>
      </c>
      <c r="X260" s="4">
        <v>154.30000000000001</v>
      </c>
      <c r="Y260" s="4">
        <v>129.85</v>
      </c>
      <c r="Z260" s="4">
        <v>143.01249999999999</v>
      </c>
      <c r="AA260" s="4">
        <v>156.03749999999999</v>
      </c>
      <c r="AB260" s="4">
        <v>143.78749999999999</v>
      </c>
      <c r="AC260" s="4">
        <v>142.91249999999999</v>
      </c>
      <c r="AD260" s="4">
        <v>148.91249999999999</v>
      </c>
    </row>
    <row r="261" spans="1:30" hidden="1" x14ac:dyDescent="0.3">
      <c r="A261" t="s">
        <v>33</v>
      </c>
      <c r="B261">
        <v>2020</v>
      </c>
      <c r="C261" t="s">
        <v>37</v>
      </c>
      <c r="D261" s="4">
        <v>151.80000000000001</v>
      </c>
      <c r="E261" s="4">
        <v>167.32857142857142</v>
      </c>
      <c r="F261" s="4">
        <v>151.9</v>
      </c>
      <c r="G261" s="4">
        <v>155.5</v>
      </c>
      <c r="H261" s="4">
        <v>131.6</v>
      </c>
      <c r="I261" s="4">
        <v>152.9</v>
      </c>
      <c r="J261" s="4">
        <v>180</v>
      </c>
      <c r="K261" s="4">
        <v>150.80000000000001</v>
      </c>
      <c r="L261" s="4">
        <v>121.2</v>
      </c>
      <c r="M261" s="4">
        <v>154</v>
      </c>
      <c r="N261" s="4">
        <v>133.5</v>
      </c>
      <c r="O261" s="4">
        <v>159.22857142857143</v>
      </c>
      <c r="P261" s="4">
        <v>153.5</v>
      </c>
      <c r="Q261" s="4">
        <v>170.81428571428572</v>
      </c>
      <c r="R261" s="4">
        <v>150.55714285714288</v>
      </c>
      <c r="S261" s="4">
        <v>141.07142857142858</v>
      </c>
      <c r="T261" s="4">
        <v>149.15714285714287</v>
      </c>
      <c r="U261" s="4">
        <v>155.6</v>
      </c>
      <c r="V261" s="4">
        <v>137.1</v>
      </c>
      <c r="W261" s="4">
        <v>146.21428571428569</v>
      </c>
      <c r="X261" s="4">
        <v>144.80000000000001</v>
      </c>
      <c r="Y261" s="4">
        <v>130.3857142857143</v>
      </c>
      <c r="Z261" s="4">
        <v>143.84285714285713</v>
      </c>
      <c r="AA261" s="4">
        <v>156.59999999999997</v>
      </c>
      <c r="AB261" s="4">
        <v>144.02857142857144</v>
      </c>
      <c r="AC261" s="4">
        <v>143.55714285714288</v>
      </c>
      <c r="AD261" s="4">
        <v>149.01428571428571</v>
      </c>
    </row>
    <row r="262" spans="1:30" hidden="1" x14ac:dyDescent="0.3">
      <c r="A262" t="s">
        <v>34</v>
      </c>
      <c r="B262">
        <v>2020</v>
      </c>
      <c r="C262" t="s">
        <v>37</v>
      </c>
      <c r="D262" s="4">
        <v>148.69999999999999</v>
      </c>
      <c r="E262" s="4">
        <v>167.31666666666669</v>
      </c>
      <c r="F262" s="4">
        <v>148.80000000000001</v>
      </c>
      <c r="G262" s="4">
        <v>155.6</v>
      </c>
      <c r="H262" s="4">
        <v>135.1</v>
      </c>
      <c r="I262" s="4">
        <v>149.9</v>
      </c>
      <c r="J262" s="4">
        <v>168.6</v>
      </c>
      <c r="K262" s="4">
        <v>150.4</v>
      </c>
      <c r="L262" s="4">
        <v>120.3</v>
      </c>
      <c r="M262" s="4">
        <v>157.1</v>
      </c>
      <c r="N262" s="4">
        <v>136.80000000000001</v>
      </c>
      <c r="O262" s="4">
        <v>159.33333333333334</v>
      </c>
      <c r="P262" s="4">
        <v>151.4</v>
      </c>
      <c r="Q262" s="4">
        <v>171.08333333333334</v>
      </c>
      <c r="R262" s="4">
        <v>150.56666666666669</v>
      </c>
      <c r="S262" s="4">
        <v>140.99999999999997</v>
      </c>
      <c r="T262" s="4">
        <v>149.15</v>
      </c>
      <c r="U262" s="4">
        <v>155.6</v>
      </c>
      <c r="V262" s="4">
        <v>144.1</v>
      </c>
      <c r="W262" s="4">
        <v>146.21666666666667</v>
      </c>
      <c r="X262" s="4">
        <v>150.69999999999999</v>
      </c>
      <c r="Y262" s="4">
        <v>130.29999999999998</v>
      </c>
      <c r="Z262" s="4">
        <v>144.01666666666665</v>
      </c>
      <c r="AA262" s="4">
        <v>156.68333333333334</v>
      </c>
      <c r="AB262" s="4">
        <v>144.31666666666669</v>
      </c>
      <c r="AC262" s="4">
        <v>143.58333333333334</v>
      </c>
      <c r="AD262" s="4">
        <v>148.81666666666666</v>
      </c>
    </row>
    <row r="263" spans="1:30" hidden="1" x14ac:dyDescent="0.3">
      <c r="A263" t="s">
        <v>30</v>
      </c>
      <c r="B263">
        <v>2020</v>
      </c>
      <c r="C263" t="s">
        <v>38</v>
      </c>
      <c r="D263" s="4">
        <v>146.83750000000001</v>
      </c>
      <c r="E263" s="4">
        <v>167.28000000000003</v>
      </c>
      <c r="F263" s="4">
        <v>149.63749999999999</v>
      </c>
      <c r="G263" s="4">
        <v>152.8125</v>
      </c>
      <c r="H263" s="4">
        <v>131.82499999999999</v>
      </c>
      <c r="I263" s="4">
        <v>145.32499999999999</v>
      </c>
      <c r="J263" s="4">
        <v>167.53749999999999</v>
      </c>
      <c r="K263" s="4">
        <v>144.33750000000001</v>
      </c>
      <c r="L263" s="4">
        <v>116.21249999999999</v>
      </c>
      <c r="M263" s="4">
        <v>153.86249999999998</v>
      </c>
      <c r="N263" s="4">
        <v>135.77500000000001</v>
      </c>
      <c r="O263" s="4">
        <v>159.36000000000001</v>
      </c>
      <c r="P263" s="4">
        <v>150.55000000000001</v>
      </c>
      <c r="Q263" s="4">
        <v>171.42000000000002</v>
      </c>
      <c r="R263" s="4">
        <v>150.08000000000001</v>
      </c>
      <c r="S263" s="4">
        <v>139.69999999999999</v>
      </c>
      <c r="T263" s="4">
        <v>148.51999999999998</v>
      </c>
      <c r="U263" s="4">
        <v>155.16000000000003</v>
      </c>
      <c r="V263" s="4">
        <v>144.92499999999998</v>
      </c>
      <c r="W263" s="4">
        <v>145.1</v>
      </c>
      <c r="X263" s="4">
        <v>149.98749999999998</v>
      </c>
      <c r="Y263" s="4">
        <v>129.16</v>
      </c>
      <c r="Z263" s="4">
        <v>142.74</v>
      </c>
      <c r="AA263" s="4">
        <v>155.63999999999999</v>
      </c>
      <c r="AB263" s="4">
        <v>144.5</v>
      </c>
      <c r="AC263" s="4">
        <v>142.61999999999998</v>
      </c>
      <c r="AD263" s="4">
        <v>148.5</v>
      </c>
    </row>
    <row r="264" spans="1:30" hidden="1" x14ac:dyDescent="0.3">
      <c r="A264" t="s">
        <v>33</v>
      </c>
      <c r="B264">
        <v>2020</v>
      </c>
      <c r="C264" t="s">
        <v>38</v>
      </c>
      <c r="D264" s="4">
        <v>146.92857142857142</v>
      </c>
      <c r="E264" s="4">
        <v>167.2</v>
      </c>
      <c r="F264" s="4">
        <v>149.14285714285714</v>
      </c>
      <c r="G264" s="4">
        <v>153.1142857142857</v>
      </c>
      <c r="H264" s="4">
        <v>132.45714285714288</v>
      </c>
      <c r="I264" s="4">
        <v>145.64285714285714</v>
      </c>
      <c r="J264" s="4">
        <v>165.51428571428571</v>
      </c>
      <c r="K264" s="4">
        <v>145.01428571428568</v>
      </c>
      <c r="L264" s="4">
        <v>116.44285714285715</v>
      </c>
      <c r="M264" s="4">
        <v>154.35714285714286</v>
      </c>
      <c r="N264" s="4">
        <v>136.3857142857143</v>
      </c>
      <c r="O264" s="4">
        <v>159.45000000000002</v>
      </c>
      <c r="P264" s="4">
        <v>150.3857142857143</v>
      </c>
      <c r="Q264" s="4">
        <v>171.27500000000003</v>
      </c>
      <c r="R264" s="4">
        <v>150.77500000000001</v>
      </c>
      <c r="S264" s="4">
        <v>141.25</v>
      </c>
      <c r="T264" s="4">
        <v>149.35000000000002</v>
      </c>
      <c r="U264" s="4">
        <v>155.32500000000002</v>
      </c>
      <c r="V264" s="4">
        <v>145.78571428571428</v>
      </c>
      <c r="W264" s="4">
        <v>146.27500000000001</v>
      </c>
      <c r="X264" s="4">
        <v>150.78571428571428</v>
      </c>
      <c r="Y264" s="4">
        <v>130.15</v>
      </c>
      <c r="Z264" s="4">
        <v>144</v>
      </c>
      <c r="AA264" s="4">
        <v>156.5</v>
      </c>
      <c r="AB264" s="4">
        <v>144.75</v>
      </c>
      <c r="AC264" s="4">
        <v>143.67500000000001</v>
      </c>
      <c r="AD264" s="4">
        <v>148.69999999999999</v>
      </c>
    </row>
    <row r="265" spans="1:30" hidden="1" x14ac:dyDescent="0.3">
      <c r="A265" t="s">
        <v>34</v>
      </c>
      <c r="B265">
        <v>2020</v>
      </c>
      <c r="C265" t="s">
        <v>38</v>
      </c>
      <c r="D265" s="4">
        <v>147.28333333333333</v>
      </c>
      <c r="E265" s="4">
        <v>167.1</v>
      </c>
      <c r="F265" s="4">
        <v>148.70000000000002</v>
      </c>
      <c r="G265" s="4">
        <v>153.5</v>
      </c>
      <c r="H265" s="4">
        <v>132.63333333333335</v>
      </c>
      <c r="I265" s="4">
        <v>146.28333333333333</v>
      </c>
      <c r="J265" s="4">
        <v>164.65</v>
      </c>
      <c r="K265" s="4">
        <v>145.66666666666666</v>
      </c>
      <c r="L265" s="4">
        <v>116.91666666666667</v>
      </c>
      <c r="M265" s="4">
        <v>154.75</v>
      </c>
      <c r="N265" s="4">
        <v>136.36666666666667</v>
      </c>
      <c r="O265" s="4">
        <v>159.56666666666669</v>
      </c>
      <c r="P265" s="4">
        <v>150.36666666666665</v>
      </c>
      <c r="Q265" s="4">
        <v>171.66666666666666</v>
      </c>
      <c r="R265" s="4">
        <v>150.76666666666668</v>
      </c>
      <c r="S265" s="4">
        <v>141.1</v>
      </c>
      <c r="T265" s="4">
        <v>149.30000000000001</v>
      </c>
      <c r="U265" s="4">
        <v>155.6</v>
      </c>
      <c r="V265" s="4">
        <v>145.55000000000001</v>
      </c>
      <c r="W265" s="4">
        <v>146.23333333333335</v>
      </c>
      <c r="X265" s="4">
        <v>150.63333333333333</v>
      </c>
      <c r="Y265" s="4">
        <v>130.1</v>
      </c>
      <c r="Z265" s="4">
        <v>144.26666666666668</v>
      </c>
      <c r="AA265" s="4">
        <v>156.6</v>
      </c>
      <c r="AB265" s="4">
        <v>145.19999999999999</v>
      </c>
      <c r="AC265" s="4">
        <v>143.69999999999999</v>
      </c>
      <c r="AD265" s="4">
        <v>148.56666666666669</v>
      </c>
    </row>
    <row r="266" spans="1:30" hidden="1" x14ac:dyDescent="0.3">
      <c r="A266" t="s">
        <v>30</v>
      </c>
      <c r="B266">
        <v>2020</v>
      </c>
      <c r="C266" t="s">
        <v>39</v>
      </c>
      <c r="D266" s="4">
        <v>148.19999999999999</v>
      </c>
      <c r="E266" s="4">
        <v>190.3</v>
      </c>
      <c r="F266" s="4">
        <v>149.4</v>
      </c>
      <c r="G266" s="4">
        <v>153.30000000000001</v>
      </c>
      <c r="H266" s="4">
        <v>138.19999999999999</v>
      </c>
      <c r="I266" s="4">
        <v>143.19999999999999</v>
      </c>
      <c r="J266" s="4">
        <v>148.9</v>
      </c>
      <c r="K266" s="4">
        <v>150.30000000000001</v>
      </c>
      <c r="L266" s="4">
        <v>113.2</v>
      </c>
      <c r="M266" s="4">
        <v>159.80000000000001</v>
      </c>
      <c r="N266" s="4">
        <v>142.1</v>
      </c>
      <c r="O266" s="4">
        <v>161.80000000000001</v>
      </c>
      <c r="P266" s="4">
        <v>152.30000000000001</v>
      </c>
      <c r="Q266" s="4">
        <v>182.4</v>
      </c>
      <c r="R266" s="4">
        <v>154.69999999999999</v>
      </c>
      <c r="S266" s="4">
        <v>150</v>
      </c>
      <c r="T266" s="4">
        <v>154.1</v>
      </c>
      <c r="U266" s="4">
        <v>154.69999999999999</v>
      </c>
      <c r="V266" s="4">
        <v>144.9</v>
      </c>
      <c r="W266" s="4">
        <v>151.69999999999999</v>
      </c>
      <c r="X266" s="4">
        <v>158.19999999999999</v>
      </c>
      <c r="Y266" s="4">
        <v>141.4</v>
      </c>
      <c r="Z266" s="4">
        <v>153.19999999999999</v>
      </c>
      <c r="AA266" s="4">
        <v>161.80000000000001</v>
      </c>
      <c r="AB266" s="4">
        <v>151.19999999999999</v>
      </c>
      <c r="AC266" s="4">
        <v>151.69999999999999</v>
      </c>
      <c r="AD266" s="4">
        <v>152.69999999999999</v>
      </c>
    </row>
    <row r="267" spans="1:30" hidden="1" x14ac:dyDescent="0.3">
      <c r="A267" t="s">
        <v>33</v>
      </c>
      <c r="B267">
        <v>2020</v>
      </c>
      <c r="C267" t="s">
        <v>39</v>
      </c>
      <c r="D267" s="4">
        <v>152.69999999999999</v>
      </c>
      <c r="E267" s="4">
        <v>197</v>
      </c>
      <c r="F267" s="4">
        <v>154.6</v>
      </c>
      <c r="G267" s="4">
        <v>153.4</v>
      </c>
      <c r="H267" s="4">
        <v>132.9</v>
      </c>
      <c r="I267" s="4">
        <v>151.80000000000001</v>
      </c>
      <c r="J267" s="4">
        <v>171.2</v>
      </c>
      <c r="K267" s="4">
        <v>152</v>
      </c>
      <c r="L267" s="4">
        <v>116.3</v>
      </c>
      <c r="M267" s="4">
        <v>158.80000000000001</v>
      </c>
      <c r="N267" s="4">
        <v>135.6</v>
      </c>
      <c r="O267" s="4">
        <v>161.69999999999999</v>
      </c>
      <c r="P267" s="4">
        <v>157</v>
      </c>
      <c r="Q267" s="4">
        <v>186.7</v>
      </c>
      <c r="R267" s="4">
        <v>149.1</v>
      </c>
      <c r="S267" s="4">
        <v>136.6</v>
      </c>
      <c r="T267" s="4">
        <v>147.19999999999999</v>
      </c>
      <c r="U267" s="4">
        <v>154.69999999999999</v>
      </c>
      <c r="V267" s="4">
        <v>137.1</v>
      </c>
      <c r="W267" s="4">
        <v>140.4</v>
      </c>
      <c r="X267" s="4">
        <v>148.1</v>
      </c>
      <c r="Y267" s="4">
        <v>129.30000000000001</v>
      </c>
      <c r="Z267" s="4">
        <v>144.5</v>
      </c>
      <c r="AA267" s="4">
        <v>152.5</v>
      </c>
      <c r="AB267" s="4">
        <v>152.19999999999999</v>
      </c>
      <c r="AC267" s="4">
        <v>142</v>
      </c>
      <c r="AD267" s="4">
        <v>150.80000000000001</v>
      </c>
    </row>
    <row r="268" spans="1:30" hidden="1" x14ac:dyDescent="0.3">
      <c r="A268" t="s">
        <v>34</v>
      </c>
      <c r="B268">
        <v>2020</v>
      </c>
      <c r="C268" t="s">
        <v>39</v>
      </c>
      <c r="D268" s="4">
        <v>149.6</v>
      </c>
      <c r="E268" s="4">
        <v>192.7</v>
      </c>
      <c r="F268" s="4">
        <v>151.4</v>
      </c>
      <c r="G268" s="4">
        <v>153.30000000000001</v>
      </c>
      <c r="H268" s="4">
        <v>136.30000000000001</v>
      </c>
      <c r="I268" s="4">
        <v>147.19999999999999</v>
      </c>
      <c r="J268" s="4">
        <v>156.5</v>
      </c>
      <c r="K268" s="4">
        <v>150.9</v>
      </c>
      <c r="L268" s="4">
        <v>114.2</v>
      </c>
      <c r="M268" s="4">
        <v>159.5</v>
      </c>
      <c r="N268" s="4">
        <v>139.4</v>
      </c>
      <c r="O268" s="4">
        <v>161.80000000000001</v>
      </c>
      <c r="P268" s="4">
        <v>154</v>
      </c>
      <c r="Q268" s="4">
        <v>183.5</v>
      </c>
      <c r="R268" s="4">
        <v>152.5</v>
      </c>
      <c r="S268" s="4">
        <v>144.4</v>
      </c>
      <c r="T268" s="4">
        <v>151.4</v>
      </c>
      <c r="U268" s="4">
        <v>154.69999999999999</v>
      </c>
      <c r="V268" s="4">
        <v>141.9</v>
      </c>
      <c r="W268" s="4">
        <v>146.4</v>
      </c>
      <c r="X268" s="4">
        <v>154.4</v>
      </c>
      <c r="Y268" s="4">
        <v>135</v>
      </c>
      <c r="Z268" s="4">
        <v>148.30000000000001</v>
      </c>
      <c r="AA268" s="4">
        <v>156.4</v>
      </c>
      <c r="AB268" s="4">
        <v>151.6</v>
      </c>
      <c r="AC268" s="4">
        <v>147</v>
      </c>
      <c r="AD268" s="4">
        <v>151.80000000000001</v>
      </c>
    </row>
    <row r="269" spans="1:30" hidden="1" x14ac:dyDescent="0.3">
      <c r="A269" t="s">
        <v>30</v>
      </c>
      <c r="B269">
        <v>2020</v>
      </c>
      <c r="C269" t="s">
        <v>40</v>
      </c>
      <c r="D269" s="4">
        <v>148.19999999999999</v>
      </c>
      <c r="E269" s="4">
        <v>190.3</v>
      </c>
      <c r="F269" s="4">
        <v>149.4</v>
      </c>
      <c r="G269" s="4">
        <v>153.30000000000001</v>
      </c>
      <c r="H269" s="4">
        <v>138.19999999999999</v>
      </c>
      <c r="I269" s="4">
        <v>143.19999999999999</v>
      </c>
      <c r="J269" s="4">
        <v>148.9</v>
      </c>
      <c r="K269" s="4">
        <v>150.30000000000001</v>
      </c>
      <c r="L269" s="4">
        <v>113.2</v>
      </c>
      <c r="M269" s="4">
        <v>159.80000000000001</v>
      </c>
      <c r="N269" s="4">
        <v>142.1</v>
      </c>
      <c r="O269" s="4">
        <v>161.80000000000001</v>
      </c>
      <c r="P269" s="4">
        <v>152.30000000000001</v>
      </c>
      <c r="Q269" s="4">
        <v>182.4</v>
      </c>
      <c r="R269" s="4">
        <v>154.69999999999999</v>
      </c>
      <c r="S269" s="4">
        <v>150</v>
      </c>
      <c r="T269" s="4">
        <v>154.1</v>
      </c>
      <c r="U269" s="4">
        <v>154.69999999999999</v>
      </c>
      <c r="V269" s="4">
        <v>144.9</v>
      </c>
      <c r="W269" s="4">
        <v>151.69999999999999</v>
      </c>
      <c r="X269" s="4">
        <v>158.19999999999999</v>
      </c>
      <c r="Y269" s="4">
        <v>141.4</v>
      </c>
      <c r="Z269" s="4">
        <v>153.19999999999999</v>
      </c>
      <c r="AA269" s="4">
        <v>161.80000000000001</v>
      </c>
      <c r="AB269" s="4">
        <v>151.19999999999999</v>
      </c>
      <c r="AC269" s="4">
        <v>151.69999999999999</v>
      </c>
      <c r="AD269" s="4">
        <v>152.69999999999999</v>
      </c>
    </row>
    <row r="270" spans="1:30" hidden="1" x14ac:dyDescent="0.3">
      <c r="A270" t="s">
        <v>33</v>
      </c>
      <c r="B270">
        <v>2020</v>
      </c>
      <c r="C270" t="s">
        <v>40</v>
      </c>
      <c r="D270" s="4">
        <v>152.69999999999999</v>
      </c>
      <c r="E270" s="4">
        <v>197</v>
      </c>
      <c r="F270" s="4">
        <v>154.6</v>
      </c>
      <c r="G270" s="4">
        <v>153.4</v>
      </c>
      <c r="H270" s="4">
        <v>132.9</v>
      </c>
      <c r="I270" s="4">
        <v>151.80000000000001</v>
      </c>
      <c r="J270" s="4">
        <v>171.2</v>
      </c>
      <c r="K270" s="4">
        <v>152</v>
      </c>
      <c r="L270" s="4">
        <v>116.3</v>
      </c>
      <c r="M270" s="4">
        <v>158.80000000000001</v>
      </c>
      <c r="N270" s="4">
        <v>135.6</v>
      </c>
      <c r="O270" s="4">
        <v>161.69999999999999</v>
      </c>
      <c r="P270" s="4">
        <v>157</v>
      </c>
      <c r="Q270" s="4">
        <v>186.7</v>
      </c>
      <c r="R270" s="4">
        <v>149.1</v>
      </c>
      <c r="S270" s="4">
        <v>136.6</v>
      </c>
      <c r="T270" s="4">
        <v>147.19999999999999</v>
      </c>
      <c r="U270" s="4">
        <v>154.69999999999999</v>
      </c>
      <c r="V270" s="4">
        <v>137.1</v>
      </c>
      <c r="W270" s="4">
        <v>140.4</v>
      </c>
      <c r="X270" s="4">
        <v>148.1</v>
      </c>
      <c r="Y270" s="4">
        <v>129.30000000000001</v>
      </c>
      <c r="Z270" s="4">
        <v>144.5</v>
      </c>
      <c r="AA270" s="4">
        <v>152.5</v>
      </c>
      <c r="AB270" s="4">
        <v>152.19999999999999</v>
      </c>
      <c r="AC270" s="4">
        <v>142</v>
      </c>
      <c r="AD270" s="4">
        <v>150.80000000000001</v>
      </c>
    </row>
    <row r="271" spans="1:30" hidden="1" x14ac:dyDescent="0.3">
      <c r="A271" t="s">
        <v>34</v>
      </c>
      <c r="B271">
        <v>2020</v>
      </c>
      <c r="C271" t="s">
        <v>40</v>
      </c>
      <c r="D271" s="4">
        <v>149.6</v>
      </c>
      <c r="E271" s="4">
        <v>192.7</v>
      </c>
      <c r="F271" s="4">
        <v>151.4</v>
      </c>
      <c r="G271" s="4">
        <v>153.30000000000001</v>
      </c>
      <c r="H271" s="4">
        <v>136.30000000000001</v>
      </c>
      <c r="I271" s="4">
        <v>147.19999999999999</v>
      </c>
      <c r="J271" s="4">
        <v>156.5</v>
      </c>
      <c r="K271" s="4">
        <v>150.9</v>
      </c>
      <c r="L271" s="4">
        <v>114.2</v>
      </c>
      <c r="M271" s="4">
        <v>159.5</v>
      </c>
      <c r="N271" s="4">
        <v>139.4</v>
      </c>
      <c r="O271" s="4">
        <v>161.80000000000001</v>
      </c>
      <c r="P271" s="4">
        <v>154</v>
      </c>
      <c r="Q271" s="4">
        <v>183.5</v>
      </c>
      <c r="R271" s="4">
        <v>152.5</v>
      </c>
      <c r="S271" s="4">
        <v>144.4</v>
      </c>
      <c r="T271" s="4">
        <v>151.4</v>
      </c>
      <c r="U271" s="4">
        <v>154.69999999999999</v>
      </c>
      <c r="V271" s="4">
        <v>141.9</v>
      </c>
      <c r="W271" s="4">
        <v>146.4</v>
      </c>
      <c r="X271" s="4">
        <v>154.4</v>
      </c>
      <c r="Y271" s="4">
        <v>135</v>
      </c>
      <c r="Z271" s="4">
        <v>148.30000000000001</v>
      </c>
      <c r="AA271" s="4">
        <v>156.4</v>
      </c>
      <c r="AB271" s="4">
        <v>151.6</v>
      </c>
      <c r="AC271" s="4">
        <v>147</v>
      </c>
      <c r="AD271" s="4">
        <v>151.80000000000001</v>
      </c>
    </row>
    <row r="272" spans="1:30" hidden="1" x14ac:dyDescent="0.3">
      <c r="A272" t="s">
        <v>30</v>
      </c>
      <c r="B272">
        <v>2020</v>
      </c>
      <c r="C272" t="s">
        <v>41</v>
      </c>
      <c r="D272" s="4">
        <v>147.6</v>
      </c>
      <c r="E272" s="4">
        <v>187.2</v>
      </c>
      <c r="F272" s="4">
        <v>148.4</v>
      </c>
      <c r="G272" s="4">
        <v>153.30000000000001</v>
      </c>
      <c r="H272" s="4">
        <v>139.80000000000001</v>
      </c>
      <c r="I272" s="4">
        <v>146.9</v>
      </c>
      <c r="J272" s="4">
        <v>171</v>
      </c>
      <c r="K272" s="4">
        <v>149.9</v>
      </c>
      <c r="L272" s="4">
        <v>114.2</v>
      </c>
      <c r="M272" s="4">
        <v>160</v>
      </c>
      <c r="N272" s="4">
        <v>143.5</v>
      </c>
      <c r="O272" s="4">
        <v>161.5</v>
      </c>
      <c r="P272" s="4">
        <v>155.30000000000001</v>
      </c>
      <c r="Q272" s="4">
        <v>180.9</v>
      </c>
      <c r="R272" s="4">
        <v>155.1</v>
      </c>
      <c r="S272" s="4">
        <v>149.30000000000001</v>
      </c>
      <c r="T272" s="4">
        <v>154.30000000000001</v>
      </c>
      <c r="U272" s="4">
        <v>155.5</v>
      </c>
      <c r="V272" s="4">
        <v>145.80000000000001</v>
      </c>
      <c r="W272" s="4">
        <v>151.9</v>
      </c>
      <c r="X272" s="4">
        <v>158.80000000000001</v>
      </c>
      <c r="Y272" s="4">
        <v>143.6</v>
      </c>
      <c r="Z272" s="4">
        <v>152.19999999999999</v>
      </c>
      <c r="AA272" s="4">
        <v>162.69999999999999</v>
      </c>
      <c r="AB272" s="4">
        <v>153.6</v>
      </c>
      <c r="AC272" s="4">
        <v>153</v>
      </c>
      <c r="AD272" s="4">
        <v>154.69999999999999</v>
      </c>
    </row>
    <row r="273" spans="1:30" hidden="1" x14ac:dyDescent="0.3">
      <c r="A273" t="s">
        <v>33</v>
      </c>
      <c r="B273">
        <v>2020</v>
      </c>
      <c r="C273" t="s">
        <v>41</v>
      </c>
      <c r="D273" s="4">
        <v>151.6</v>
      </c>
      <c r="E273" s="4">
        <v>197.8</v>
      </c>
      <c r="F273" s="4">
        <v>154.5</v>
      </c>
      <c r="G273" s="4">
        <v>153.4</v>
      </c>
      <c r="H273" s="4">
        <v>133.4</v>
      </c>
      <c r="I273" s="4">
        <v>154.5</v>
      </c>
      <c r="J273" s="4">
        <v>191.9</v>
      </c>
      <c r="K273" s="4">
        <v>151.30000000000001</v>
      </c>
      <c r="L273" s="4">
        <v>116.8</v>
      </c>
      <c r="M273" s="4">
        <v>160</v>
      </c>
      <c r="N273" s="4">
        <v>136.5</v>
      </c>
      <c r="O273" s="4">
        <v>163.30000000000001</v>
      </c>
      <c r="P273" s="4">
        <v>159.9</v>
      </c>
      <c r="Q273" s="4">
        <v>187.2</v>
      </c>
      <c r="R273" s="4">
        <v>150</v>
      </c>
      <c r="S273" s="4">
        <v>135.19999999999999</v>
      </c>
      <c r="T273" s="4">
        <v>147.80000000000001</v>
      </c>
      <c r="U273" s="4">
        <v>155.5</v>
      </c>
      <c r="V273" s="4">
        <v>138.30000000000001</v>
      </c>
      <c r="W273" s="4">
        <v>144.5</v>
      </c>
      <c r="X273" s="4">
        <v>148.69999999999999</v>
      </c>
      <c r="Y273" s="4">
        <v>133.9</v>
      </c>
      <c r="Z273" s="4">
        <v>141.19999999999999</v>
      </c>
      <c r="AA273" s="4">
        <v>155.5</v>
      </c>
      <c r="AB273" s="4">
        <v>155.19999999999999</v>
      </c>
      <c r="AC273" s="4">
        <v>144.80000000000001</v>
      </c>
      <c r="AD273" s="4">
        <v>152.9</v>
      </c>
    </row>
    <row r="274" spans="1:30" hidden="1" x14ac:dyDescent="0.3">
      <c r="A274" t="s">
        <v>34</v>
      </c>
      <c r="B274">
        <v>2020</v>
      </c>
      <c r="C274" t="s">
        <v>41</v>
      </c>
      <c r="D274" s="4">
        <v>148.9</v>
      </c>
      <c r="E274" s="4">
        <v>190.9</v>
      </c>
      <c r="F274" s="4">
        <v>150.80000000000001</v>
      </c>
      <c r="G274" s="4">
        <v>153.30000000000001</v>
      </c>
      <c r="H274" s="4">
        <v>137.4</v>
      </c>
      <c r="I274" s="4">
        <v>150.4</v>
      </c>
      <c r="J274" s="4">
        <v>178.1</v>
      </c>
      <c r="K274" s="4">
        <v>150.4</v>
      </c>
      <c r="L274" s="4">
        <v>115.1</v>
      </c>
      <c r="M274" s="4">
        <v>160</v>
      </c>
      <c r="N274" s="4">
        <v>140.6</v>
      </c>
      <c r="O274" s="4">
        <v>162.30000000000001</v>
      </c>
      <c r="P274" s="4">
        <v>157</v>
      </c>
      <c r="Q274" s="4">
        <v>182.6</v>
      </c>
      <c r="R274" s="4">
        <v>153.1</v>
      </c>
      <c r="S274" s="4">
        <v>143.4</v>
      </c>
      <c r="T274" s="4">
        <v>151.69999999999999</v>
      </c>
      <c r="U274" s="4">
        <v>155.5</v>
      </c>
      <c r="V274" s="4">
        <v>143</v>
      </c>
      <c r="W274" s="4">
        <v>148.4</v>
      </c>
      <c r="X274" s="4">
        <v>155</v>
      </c>
      <c r="Y274" s="4">
        <v>138.5</v>
      </c>
      <c r="Z274" s="4">
        <v>146</v>
      </c>
      <c r="AA274" s="4">
        <v>158.5</v>
      </c>
      <c r="AB274" s="4">
        <v>154.30000000000001</v>
      </c>
      <c r="AC274" s="4">
        <v>149</v>
      </c>
      <c r="AD274" s="4">
        <v>153.9</v>
      </c>
    </row>
    <row r="275" spans="1:30" hidden="1" x14ac:dyDescent="0.3">
      <c r="A275" t="s">
        <v>30</v>
      </c>
      <c r="B275">
        <v>2020</v>
      </c>
      <c r="C275" t="s">
        <v>42</v>
      </c>
      <c r="D275" s="4">
        <v>146.9</v>
      </c>
      <c r="E275" s="4">
        <v>183.9</v>
      </c>
      <c r="F275" s="4">
        <v>149.5</v>
      </c>
      <c r="G275" s="4">
        <v>153.4</v>
      </c>
      <c r="H275" s="4">
        <v>140.4</v>
      </c>
      <c r="I275" s="4">
        <v>147</v>
      </c>
      <c r="J275" s="4">
        <v>178.8</v>
      </c>
      <c r="K275" s="4">
        <v>149.30000000000001</v>
      </c>
      <c r="L275" s="4">
        <v>115.1</v>
      </c>
      <c r="M275" s="4">
        <v>160</v>
      </c>
      <c r="N275" s="4">
        <v>145.4</v>
      </c>
      <c r="O275" s="4">
        <v>161.6</v>
      </c>
      <c r="P275" s="4">
        <v>156.1</v>
      </c>
      <c r="Q275" s="4">
        <v>182.9</v>
      </c>
      <c r="R275" s="4">
        <v>155.4</v>
      </c>
      <c r="S275" s="4">
        <v>149.9</v>
      </c>
      <c r="T275" s="4">
        <v>154.6</v>
      </c>
      <c r="U275" s="4">
        <v>156.30000000000001</v>
      </c>
      <c r="V275" s="4">
        <v>146.4</v>
      </c>
      <c r="W275" s="4">
        <v>151.6</v>
      </c>
      <c r="X275" s="4">
        <v>159.1</v>
      </c>
      <c r="Y275" s="4">
        <v>144.6</v>
      </c>
      <c r="Z275" s="4">
        <v>152.80000000000001</v>
      </c>
      <c r="AA275" s="4">
        <v>161.1</v>
      </c>
      <c r="AB275" s="4">
        <v>157.4</v>
      </c>
      <c r="AC275" s="4">
        <v>153.69999999999999</v>
      </c>
      <c r="AD275" s="4">
        <v>155.4</v>
      </c>
    </row>
    <row r="276" spans="1:30" hidden="1" x14ac:dyDescent="0.3">
      <c r="A276" t="s">
        <v>33</v>
      </c>
      <c r="B276">
        <v>2020</v>
      </c>
      <c r="C276" t="s">
        <v>42</v>
      </c>
      <c r="D276" s="4">
        <v>151.5</v>
      </c>
      <c r="E276" s="4">
        <v>193.1</v>
      </c>
      <c r="F276" s="4">
        <v>157.30000000000001</v>
      </c>
      <c r="G276" s="4">
        <v>153.9</v>
      </c>
      <c r="H276" s="4">
        <v>134.4</v>
      </c>
      <c r="I276" s="4">
        <v>155.4</v>
      </c>
      <c r="J276" s="4">
        <v>202</v>
      </c>
      <c r="K276" s="4">
        <v>150.80000000000001</v>
      </c>
      <c r="L276" s="4">
        <v>118.9</v>
      </c>
      <c r="M276" s="4">
        <v>160.9</v>
      </c>
      <c r="N276" s="4">
        <v>137.69999999999999</v>
      </c>
      <c r="O276" s="4">
        <v>164.4</v>
      </c>
      <c r="P276" s="4">
        <v>161.30000000000001</v>
      </c>
      <c r="Q276" s="4">
        <v>188.7</v>
      </c>
      <c r="R276" s="4">
        <v>150.19999999999999</v>
      </c>
      <c r="S276" s="4">
        <v>136.30000000000001</v>
      </c>
      <c r="T276" s="4">
        <v>148.1</v>
      </c>
      <c r="U276" s="4">
        <v>156.30000000000001</v>
      </c>
      <c r="V276" s="4">
        <v>137.19999999999999</v>
      </c>
      <c r="W276" s="4">
        <v>145.4</v>
      </c>
      <c r="X276" s="4">
        <v>150</v>
      </c>
      <c r="Y276" s="4">
        <v>135.1</v>
      </c>
      <c r="Z276" s="4">
        <v>141.80000000000001</v>
      </c>
      <c r="AA276" s="4">
        <v>154.9</v>
      </c>
      <c r="AB276" s="4">
        <v>159.80000000000001</v>
      </c>
      <c r="AC276" s="4">
        <v>146</v>
      </c>
      <c r="AD276" s="4">
        <v>154</v>
      </c>
    </row>
    <row r="277" spans="1:30" hidden="1" x14ac:dyDescent="0.3">
      <c r="A277" t="s">
        <v>34</v>
      </c>
      <c r="B277">
        <v>2020</v>
      </c>
      <c r="C277" t="s">
        <v>42</v>
      </c>
      <c r="D277" s="4">
        <v>148.4</v>
      </c>
      <c r="E277" s="4">
        <v>187.1</v>
      </c>
      <c r="F277" s="4">
        <v>152.5</v>
      </c>
      <c r="G277" s="4">
        <v>153.6</v>
      </c>
      <c r="H277" s="4">
        <v>138.19999999999999</v>
      </c>
      <c r="I277" s="4">
        <v>150.9</v>
      </c>
      <c r="J277" s="4">
        <v>186.7</v>
      </c>
      <c r="K277" s="4">
        <v>149.80000000000001</v>
      </c>
      <c r="L277" s="4">
        <v>116.4</v>
      </c>
      <c r="M277" s="4">
        <v>160.30000000000001</v>
      </c>
      <c r="N277" s="4">
        <v>142.19999999999999</v>
      </c>
      <c r="O277" s="4">
        <v>162.9</v>
      </c>
      <c r="P277" s="4">
        <v>158</v>
      </c>
      <c r="Q277" s="4">
        <v>184.4</v>
      </c>
      <c r="R277" s="4">
        <v>153.4</v>
      </c>
      <c r="S277" s="4">
        <v>144.30000000000001</v>
      </c>
      <c r="T277" s="4">
        <v>152</v>
      </c>
      <c r="U277" s="4">
        <v>156.30000000000001</v>
      </c>
      <c r="V277" s="4">
        <v>142.9</v>
      </c>
      <c r="W277" s="4">
        <v>148.69999999999999</v>
      </c>
      <c r="X277" s="4">
        <v>155.6</v>
      </c>
      <c r="Y277" s="4">
        <v>139.6</v>
      </c>
      <c r="Z277" s="4">
        <v>146.6</v>
      </c>
      <c r="AA277" s="4">
        <v>157.5</v>
      </c>
      <c r="AB277" s="4">
        <v>158.4</v>
      </c>
      <c r="AC277" s="4">
        <v>150</v>
      </c>
      <c r="AD277" s="4">
        <v>154.69999999999999</v>
      </c>
    </row>
    <row r="278" spans="1:30" hidden="1" x14ac:dyDescent="0.3">
      <c r="A278" t="s">
        <v>30</v>
      </c>
      <c r="B278">
        <v>2020</v>
      </c>
      <c r="C278" t="s">
        <v>43</v>
      </c>
      <c r="D278" s="4">
        <v>146</v>
      </c>
      <c r="E278" s="4">
        <v>186.3</v>
      </c>
      <c r="F278" s="4">
        <v>159.19999999999999</v>
      </c>
      <c r="G278" s="4">
        <v>153.6</v>
      </c>
      <c r="H278" s="4">
        <v>142.6</v>
      </c>
      <c r="I278" s="4">
        <v>147.19999999999999</v>
      </c>
      <c r="J278" s="4">
        <v>200.6</v>
      </c>
      <c r="K278" s="4">
        <v>150.30000000000001</v>
      </c>
      <c r="L278" s="4">
        <v>115.3</v>
      </c>
      <c r="M278" s="4">
        <v>160.9</v>
      </c>
      <c r="N278" s="4">
        <v>147.4</v>
      </c>
      <c r="O278" s="4">
        <v>161.9</v>
      </c>
      <c r="P278" s="4">
        <v>159.6</v>
      </c>
      <c r="Q278" s="4">
        <v>182.7</v>
      </c>
      <c r="R278" s="4">
        <v>155.69999999999999</v>
      </c>
      <c r="S278" s="4">
        <v>150.6</v>
      </c>
      <c r="T278" s="4">
        <v>155</v>
      </c>
      <c r="U278" s="4">
        <v>156.5</v>
      </c>
      <c r="V278" s="4">
        <v>146.80000000000001</v>
      </c>
      <c r="W278" s="4">
        <v>152</v>
      </c>
      <c r="X278" s="4">
        <v>159.5</v>
      </c>
      <c r="Y278" s="4">
        <v>146.4</v>
      </c>
      <c r="Z278" s="4">
        <v>152.4</v>
      </c>
      <c r="AA278" s="4">
        <v>162.5</v>
      </c>
      <c r="AB278" s="4">
        <v>156.19999999999999</v>
      </c>
      <c r="AC278" s="4">
        <v>154.30000000000001</v>
      </c>
      <c r="AD278" s="4">
        <v>157.5</v>
      </c>
    </row>
    <row r="279" spans="1:30" hidden="1" x14ac:dyDescent="0.3">
      <c r="A279" t="s">
        <v>33</v>
      </c>
      <c r="B279">
        <v>2020</v>
      </c>
      <c r="C279" t="s">
        <v>43</v>
      </c>
      <c r="D279" s="4">
        <v>150.6</v>
      </c>
      <c r="E279" s="4">
        <v>193.7</v>
      </c>
      <c r="F279" s="4">
        <v>164.8</v>
      </c>
      <c r="G279" s="4">
        <v>153.69999999999999</v>
      </c>
      <c r="H279" s="4">
        <v>135.69999999999999</v>
      </c>
      <c r="I279" s="4">
        <v>155.69999999999999</v>
      </c>
      <c r="J279" s="4">
        <v>226</v>
      </c>
      <c r="K279" s="4">
        <v>152.19999999999999</v>
      </c>
      <c r="L279" s="4">
        <v>118.1</v>
      </c>
      <c r="M279" s="4">
        <v>161.30000000000001</v>
      </c>
      <c r="N279" s="4">
        <v>139.19999999999999</v>
      </c>
      <c r="O279" s="4">
        <v>164.8</v>
      </c>
      <c r="P279" s="4">
        <v>164.4</v>
      </c>
      <c r="Q279" s="4">
        <v>188.7</v>
      </c>
      <c r="R279" s="4">
        <v>150.5</v>
      </c>
      <c r="S279" s="4">
        <v>136.1</v>
      </c>
      <c r="T279" s="4">
        <v>148.30000000000001</v>
      </c>
      <c r="U279" s="4">
        <v>156.5</v>
      </c>
      <c r="V279" s="4">
        <v>137.1</v>
      </c>
      <c r="W279" s="4">
        <v>145.1</v>
      </c>
      <c r="X279" s="4">
        <v>151</v>
      </c>
      <c r="Y279" s="4">
        <v>135.4</v>
      </c>
      <c r="Z279" s="4">
        <v>142</v>
      </c>
      <c r="AA279" s="4">
        <v>155.69999999999999</v>
      </c>
      <c r="AB279" s="4">
        <v>158.1</v>
      </c>
      <c r="AC279" s="4">
        <v>146.19999999999999</v>
      </c>
      <c r="AD279" s="4">
        <v>155.19999999999999</v>
      </c>
    </row>
    <row r="280" spans="1:30" hidden="1" x14ac:dyDescent="0.3">
      <c r="A280" t="s">
        <v>34</v>
      </c>
      <c r="B280">
        <v>2020</v>
      </c>
      <c r="C280" t="s">
        <v>43</v>
      </c>
      <c r="D280" s="4">
        <v>147.5</v>
      </c>
      <c r="E280" s="4">
        <v>188.9</v>
      </c>
      <c r="F280" s="4">
        <v>161.4</v>
      </c>
      <c r="G280" s="4">
        <v>153.6</v>
      </c>
      <c r="H280" s="4">
        <v>140.1</v>
      </c>
      <c r="I280" s="4">
        <v>151.19999999999999</v>
      </c>
      <c r="J280" s="4">
        <v>209.2</v>
      </c>
      <c r="K280" s="4">
        <v>150.9</v>
      </c>
      <c r="L280" s="4">
        <v>116.2</v>
      </c>
      <c r="M280" s="4">
        <v>161</v>
      </c>
      <c r="N280" s="4">
        <v>144</v>
      </c>
      <c r="O280" s="4">
        <v>163.19999999999999</v>
      </c>
      <c r="P280" s="4">
        <v>161.4</v>
      </c>
      <c r="Q280" s="4">
        <v>184.3</v>
      </c>
      <c r="R280" s="4">
        <v>153.69999999999999</v>
      </c>
      <c r="S280" s="4">
        <v>144.6</v>
      </c>
      <c r="T280" s="4">
        <v>152.30000000000001</v>
      </c>
      <c r="U280" s="4">
        <v>156.5</v>
      </c>
      <c r="V280" s="4">
        <v>143.1</v>
      </c>
      <c r="W280" s="4">
        <v>148.69999999999999</v>
      </c>
      <c r="X280" s="4">
        <v>156.30000000000001</v>
      </c>
      <c r="Y280" s="4">
        <v>140.6</v>
      </c>
      <c r="Z280" s="4">
        <v>146.5</v>
      </c>
      <c r="AA280" s="4">
        <v>158.5</v>
      </c>
      <c r="AB280" s="4">
        <v>157</v>
      </c>
      <c r="AC280" s="4">
        <v>150.4</v>
      </c>
      <c r="AD280" s="4">
        <v>156.4</v>
      </c>
    </row>
    <row r="281" spans="1:30" hidden="1" x14ac:dyDescent="0.3">
      <c r="A281" t="s">
        <v>30</v>
      </c>
      <c r="B281">
        <v>2020</v>
      </c>
      <c r="C281" t="s">
        <v>45</v>
      </c>
      <c r="D281" s="4">
        <v>145.4</v>
      </c>
      <c r="E281" s="4">
        <v>188.6</v>
      </c>
      <c r="F281" s="4">
        <v>171.6</v>
      </c>
      <c r="G281" s="4">
        <v>153.80000000000001</v>
      </c>
      <c r="H281" s="4">
        <v>145.4</v>
      </c>
      <c r="I281" s="4">
        <v>146.5</v>
      </c>
      <c r="J281" s="4">
        <v>222.2</v>
      </c>
      <c r="K281" s="4">
        <v>155.9</v>
      </c>
      <c r="L281" s="4">
        <v>114.9</v>
      </c>
      <c r="M281" s="4">
        <v>162</v>
      </c>
      <c r="N281" s="4">
        <v>150</v>
      </c>
      <c r="O281" s="4">
        <v>162.69999999999999</v>
      </c>
      <c r="P281" s="4">
        <v>163.4</v>
      </c>
      <c r="Q281" s="4">
        <v>183.4</v>
      </c>
      <c r="R281" s="4">
        <v>156.30000000000001</v>
      </c>
      <c r="S281" s="4">
        <v>151</v>
      </c>
      <c r="T281" s="4">
        <v>155.5</v>
      </c>
      <c r="U281" s="4">
        <v>158</v>
      </c>
      <c r="V281" s="4">
        <v>147.5</v>
      </c>
      <c r="W281" s="4">
        <v>152.80000000000001</v>
      </c>
      <c r="X281" s="4">
        <v>160.4</v>
      </c>
      <c r="Y281" s="4">
        <v>146.1</v>
      </c>
      <c r="Z281" s="4">
        <v>153.6</v>
      </c>
      <c r="AA281" s="4">
        <v>161.6</v>
      </c>
      <c r="AB281" s="4">
        <v>156.19999999999999</v>
      </c>
      <c r="AC281" s="4">
        <v>154.5</v>
      </c>
      <c r="AD281" s="4">
        <v>159.80000000000001</v>
      </c>
    </row>
    <row r="282" spans="1:30" hidden="1" x14ac:dyDescent="0.3">
      <c r="A282" t="s">
        <v>33</v>
      </c>
      <c r="B282">
        <v>2020</v>
      </c>
      <c r="C282" t="s">
        <v>45</v>
      </c>
      <c r="D282" s="4">
        <v>149.69999999999999</v>
      </c>
      <c r="E282" s="4">
        <v>195.5</v>
      </c>
      <c r="F282" s="4">
        <v>176.9</v>
      </c>
      <c r="G282" s="4">
        <v>153.9</v>
      </c>
      <c r="H282" s="4">
        <v>138</v>
      </c>
      <c r="I282" s="4">
        <v>150.5</v>
      </c>
      <c r="J282" s="4">
        <v>245.3</v>
      </c>
      <c r="K282" s="4">
        <v>158.69999999999999</v>
      </c>
      <c r="L282" s="4">
        <v>117.2</v>
      </c>
      <c r="M282" s="4">
        <v>161.4</v>
      </c>
      <c r="N282" s="4">
        <v>141.5</v>
      </c>
      <c r="O282" s="4">
        <v>165.1</v>
      </c>
      <c r="P282" s="4">
        <v>167</v>
      </c>
      <c r="Q282" s="4">
        <v>188.8</v>
      </c>
      <c r="R282" s="4">
        <v>151.1</v>
      </c>
      <c r="S282" s="4">
        <v>136.4</v>
      </c>
      <c r="T282" s="4">
        <v>148.80000000000001</v>
      </c>
      <c r="U282" s="4">
        <v>158</v>
      </c>
      <c r="V282" s="4">
        <v>137.30000000000001</v>
      </c>
      <c r="W282" s="4">
        <v>145.1</v>
      </c>
      <c r="X282" s="4">
        <v>152</v>
      </c>
      <c r="Y282" s="4">
        <v>135.19999999999999</v>
      </c>
      <c r="Z282" s="4">
        <v>144.4</v>
      </c>
      <c r="AA282" s="4">
        <v>156.4</v>
      </c>
      <c r="AB282" s="4">
        <v>157.9</v>
      </c>
      <c r="AC282" s="4">
        <v>146.6</v>
      </c>
      <c r="AD282" s="4">
        <v>156.69999999999999</v>
      </c>
    </row>
    <row r="283" spans="1:30" hidden="1" x14ac:dyDescent="0.3">
      <c r="A283" t="s">
        <v>34</v>
      </c>
      <c r="B283">
        <v>2020</v>
      </c>
      <c r="C283" t="s">
        <v>45</v>
      </c>
      <c r="D283" s="4">
        <v>146.80000000000001</v>
      </c>
      <c r="E283" s="4">
        <v>191</v>
      </c>
      <c r="F283" s="4">
        <v>173.6</v>
      </c>
      <c r="G283" s="4">
        <v>153.80000000000001</v>
      </c>
      <c r="H283" s="4">
        <v>142.69999999999999</v>
      </c>
      <c r="I283" s="4">
        <v>148.4</v>
      </c>
      <c r="J283" s="4">
        <v>230</v>
      </c>
      <c r="K283" s="4">
        <v>156.80000000000001</v>
      </c>
      <c r="L283" s="4">
        <v>115.7</v>
      </c>
      <c r="M283" s="4">
        <v>161.80000000000001</v>
      </c>
      <c r="N283" s="4">
        <v>146.5</v>
      </c>
      <c r="O283" s="4">
        <v>163.80000000000001</v>
      </c>
      <c r="P283" s="4">
        <v>164.7</v>
      </c>
      <c r="Q283" s="4">
        <v>184.8</v>
      </c>
      <c r="R283" s="4">
        <v>154.30000000000001</v>
      </c>
      <c r="S283" s="4">
        <v>144.9</v>
      </c>
      <c r="T283" s="4">
        <v>152.80000000000001</v>
      </c>
      <c r="U283" s="4">
        <v>158</v>
      </c>
      <c r="V283" s="4">
        <v>143.6</v>
      </c>
      <c r="W283" s="4">
        <v>149.19999999999999</v>
      </c>
      <c r="X283" s="4">
        <v>157.19999999999999</v>
      </c>
      <c r="Y283" s="4">
        <v>140.4</v>
      </c>
      <c r="Z283" s="4">
        <v>148.4</v>
      </c>
      <c r="AA283" s="4">
        <v>158.6</v>
      </c>
      <c r="AB283" s="4">
        <v>156.9</v>
      </c>
      <c r="AC283" s="4">
        <v>150.69999999999999</v>
      </c>
      <c r="AD283" s="4">
        <v>158.4</v>
      </c>
    </row>
    <row r="284" spans="1:30" hidden="1" x14ac:dyDescent="0.3">
      <c r="A284" t="s">
        <v>30</v>
      </c>
      <c r="B284">
        <v>2020</v>
      </c>
      <c r="C284" t="s">
        <v>46</v>
      </c>
      <c r="D284" s="4">
        <v>144.6</v>
      </c>
      <c r="E284" s="4">
        <v>188.5</v>
      </c>
      <c r="F284" s="4">
        <v>173.4</v>
      </c>
      <c r="G284" s="4">
        <v>154</v>
      </c>
      <c r="H284" s="4">
        <v>150</v>
      </c>
      <c r="I284" s="4">
        <v>145.9</v>
      </c>
      <c r="J284" s="4">
        <v>225.2</v>
      </c>
      <c r="K284" s="4">
        <v>159.5</v>
      </c>
      <c r="L284" s="4">
        <v>114.4</v>
      </c>
      <c r="M284" s="4">
        <v>163.5</v>
      </c>
      <c r="N284" s="4">
        <v>153.4</v>
      </c>
      <c r="O284" s="4">
        <v>163.6</v>
      </c>
      <c r="P284" s="4">
        <v>164.5</v>
      </c>
      <c r="Q284" s="4">
        <v>183.6</v>
      </c>
      <c r="R284" s="4">
        <v>157</v>
      </c>
      <c r="S284" s="4">
        <v>151.6</v>
      </c>
      <c r="T284" s="4">
        <v>156.30000000000001</v>
      </c>
      <c r="U284" s="4">
        <v>158.4</v>
      </c>
      <c r="V284" s="4">
        <v>148.69999999999999</v>
      </c>
      <c r="W284" s="4">
        <v>153.4</v>
      </c>
      <c r="X284" s="4">
        <v>161.6</v>
      </c>
      <c r="Y284" s="4">
        <v>146.4</v>
      </c>
      <c r="Z284" s="4">
        <v>153.9</v>
      </c>
      <c r="AA284" s="4">
        <v>162.9</v>
      </c>
      <c r="AB284" s="4">
        <v>156.6</v>
      </c>
      <c r="AC284" s="4">
        <v>155.19999999999999</v>
      </c>
      <c r="AD284" s="4">
        <v>160.69999999999999</v>
      </c>
    </row>
    <row r="285" spans="1:30" hidden="1" x14ac:dyDescent="0.3">
      <c r="A285" t="s">
        <v>33</v>
      </c>
      <c r="B285">
        <v>2020</v>
      </c>
      <c r="C285" t="s">
        <v>46</v>
      </c>
      <c r="D285" s="4">
        <v>149</v>
      </c>
      <c r="E285" s="4">
        <v>195.7</v>
      </c>
      <c r="F285" s="4">
        <v>178.3</v>
      </c>
      <c r="G285" s="4">
        <v>154.19999999999999</v>
      </c>
      <c r="H285" s="4">
        <v>140.69999999999999</v>
      </c>
      <c r="I285" s="4">
        <v>149.69999999999999</v>
      </c>
      <c r="J285" s="4">
        <v>240.9</v>
      </c>
      <c r="K285" s="4">
        <v>161.5</v>
      </c>
      <c r="L285" s="4">
        <v>117.1</v>
      </c>
      <c r="M285" s="4">
        <v>161.9</v>
      </c>
      <c r="N285" s="4">
        <v>143.30000000000001</v>
      </c>
      <c r="O285" s="4">
        <v>166.1</v>
      </c>
      <c r="P285" s="4">
        <v>167</v>
      </c>
      <c r="Q285" s="4">
        <v>190.2</v>
      </c>
      <c r="R285" s="4">
        <v>151.9</v>
      </c>
      <c r="S285" s="4">
        <v>136.69999999999999</v>
      </c>
      <c r="T285" s="4">
        <v>149.6</v>
      </c>
      <c r="U285" s="4">
        <v>158.4</v>
      </c>
      <c r="V285" s="4">
        <v>137.9</v>
      </c>
      <c r="W285" s="4">
        <v>145.5</v>
      </c>
      <c r="X285" s="4">
        <v>152.9</v>
      </c>
      <c r="Y285" s="4">
        <v>135.5</v>
      </c>
      <c r="Z285" s="4">
        <v>144.30000000000001</v>
      </c>
      <c r="AA285" s="4">
        <v>156.9</v>
      </c>
      <c r="AB285" s="4">
        <v>157.9</v>
      </c>
      <c r="AC285" s="4">
        <v>146.9</v>
      </c>
      <c r="AD285" s="4">
        <v>156.9</v>
      </c>
    </row>
    <row r="286" spans="1:30" hidden="1" x14ac:dyDescent="0.3">
      <c r="A286" t="s">
        <v>34</v>
      </c>
      <c r="B286">
        <v>2020</v>
      </c>
      <c r="C286" t="s">
        <v>46</v>
      </c>
      <c r="D286" s="4">
        <v>146</v>
      </c>
      <c r="E286" s="4">
        <v>191</v>
      </c>
      <c r="F286" s="4">
        <v>175.3</v>
      </c>
      <c r="G286" s="4">
        <v>154.1</v>
      </c>
      <c r="H286" s="4">
        <v>146.6</v>
      </c>
      <c r="I286" s="4">
        <v>147.69999999999999</v>
      </c>
      <c r="J286" s="4">
        <v>230.5</v>
      </c>
      <c r="K286" s="4">
        <v>160.19999999999999</v>
      </c>
      <c r="L286" s="4">
        <v>115.3</v>
      </c>
      <c r="M286" s="4">
        <v>163</v>
      </c>
      <c r="N286" s="4">
        <v>149.19999999999999</v>
      </c>
      <c r="O286" s="4">
        <v>164.8</v>
      </c>
      <c r="P286" s="4">
        <v>165.4</v>
      </c>
      <c r="Q286" s="4">
        <v>185.4</v>
      </c>
      <c r="R286" s="4">
        <v>155</v>
      </c>
      <c r="S286" s="4">
        <v>145.4</v>
      </c>
      <c r="T286" s="4">
        <v>153.6</v>
      </c>
      <c r="U286" s="4">
        <v>158.4</v>
      </c>
      <c r="V286" s="4">
        <v>144.6</v>
      </c>
      <c r="W286" s="4">
        <v>149.69999999999999</v>
      </c>
      <c r="X286" s="4">
        <v>158.30000000000001</v>
      </c>
      <c r="Y286" s="4">
        <v>140.69999999999999</v>
      </c>
      <c r="Z286" s="4">
        <v>148.5</v>
      </c>
      <c r="AA286" s="4">
        <v>159.4</v>
      </c>
      <c r="AB286" s="4">
        <v>157.1</v>
      </c>
      <c r="AC286" s="4">
        <v>151.19999999999999</v>
      </c>
      <c r="AD286" s="4">
        <v>158.9</v>
      </c>
    </row>
    <row r="287" spans="1:30" hidden="1" x14ac:dyDescent="0.3">
      <c r="A287" t="s">
        <v>30</v>
      </c>
      <c r="B287">
        <v>2021</v>
      </c>
      <c r="C287" t="s">
        <v>31</v>
      </c>
      <c r="D287" s="4">
        <v>143.4</v>
      </c>
      <c r="E287" s="4">
        <v>187.5</v>
      </c>
      <c r="F287" s="4">
        <v>173.4</v>
      </c>
      <c r="G287" s="4">
        <v>154</v>
      </c>
      <c r="H287" s="4">
        <v>154.80000000000001</v>
      </c>
      <c r="I287" s="4">
        <v>147</v>
      </c>
      <c r="J287" s="4">
        <v>187.8</v>
      </c>
      <c r="K287" s="4">
        <v>159.5</v>
      </c>
      <c r="L287" s="4">
        <v>113.8</v>
      </c>
      <c r="M287" s="4">
        <v>164.5</v>
      </c>
      <c r="N287" s="4">
        <v>156.1</v>
      </c>
      <c r="O287" s="4">
        <v>164.3</v>
      </c>
      <c r="P287" s="4">
        <v>159.6</v>
      </c>
      <c r="Q287" s="4">
        <v>184.6</v>
      </c>
      <c r="R287" s="4">
        <v>157.5</v>
      </c>
      <c r="S287" s="4">
        <v>152.4</v>
      </c>
      <c r="T287" s="4">
        <v>156.80000000000001</v>
      </c>
      <c r="U287" s="4">
        <v>157.69999999999999</v>
      </c>
      <c r="V287" s="4">
        <v>150.9</v>
      </c>
      <c r="W287" s="4">
        <v>153.9</v>
      </c>
      <c r="X287" s="4">
        <v>162.5</v>
      </c>
      <c r="Y287" s="4">
        <v>147.5</v>
      </c>
      <c r="Z287" s="4">
        <v>155.1</v>
      </c>
      <c r="AA287" s="4">
        <v>163.5</v>
      </c>
      <c r="AB287" s="4">
        <v>156.19999999999999</v>
      </c>
      <c r="AC287" s="4">
        <v>155.9</v>
      </c>
      <c r="AD287" s="4">
        <v>158.5</v>
      </c>
    </row>
    <row r="288" spans="1:30" hidden="1" x14ac:dyDescent="0.3">
      <c r="A288" t="s">
        <v>33</v>
      </c>
      <c r="B288">
        <v>2021</v>
      </c>
      <c r="C288" t="s">
        <v>31</v>
      </c>
      <c r="D288" s="4">
        <v>148</v>
      </c>
      <c r="E288" s="4">
        <v>194.8</v>
      </c>
      <c r="F288" s="4">
        <v>178.4</v>
      </c>
      <c r="G288" s="4">
        <v>154.4</v>
      </c>
      <c r="H288" s="4">
        <v>144.1</v>
      </c>
      <c r="I288" s="4">
        <v>152.6</v>
      </c>
      <c r="J288" s="4">
        <v>206.8</v>
      </c>
      <c r="K288" s="4">
        <v>162.1</v>
      </c>
      <c r="L288" s="4">
        <v>116.3</v>
      </c>
      <c r="M288" s="4">
        <v>163</v>
      </c>
      <c r="N288" s="4">
        <v>145.9</v>
      </c>
      <c r="O288" s="4">
        <v>167.2</v>
      </c>
      <c r="P288" s="4">
        <v>163.4</v>
      </c>
      <c r="Q288" s="4">
        <v>191.8</v>
      </c>
      <c r="R288" s="4">
        <v>152.5</v>
      </c>
      <c r="S288" s="4">
        <v>137.30000000000001</v>
      </c>
      <c r="T288" s="4">
        <v>150.19999999999999</v>
      </c>
      <c r="U288" s="4">
        <v>157.69999999999999</v>
      </c>
      <c r="V288" s="4">
        <v>142.9</v>
      </c>
      <c r="W288" s="4">
        <v>145.69999999999999</v>
      </c>
      <c r="X288" s="4">
        <v>154.1</v>
      </c>
      <c r="Y288" s="4">
        <v>136.9</v>
      </c>
      <c r="Z288" s="4">
        <v>145.4</v>
      </c>
      <c r="AA288" s="4">
        <v>156.1</v>
      </c>
      <c r="AB288" s="4">
        <v>157.69999999999999</v>
      </c>
      <c r="AC288" s="4">
        <v>147.6</v>
      </c>
      <c r="AD288" s="4">
        <v>156</v>
      </c>
    </row>
    <row r="289" spans="1:30" x14ac:dyDescent="0.3">
      <c r="A289" t="s">
        <v>34</v>
      </c>
      <c r="B289">
        <v>2021</v>
      </c>
      <c r="C289" t="s">
        <v>31</v>
      </c>
      <c r="D289" s="4">
        <v>144.9</v>
      </c>
      <c r="E289" s="4">
        <v>190.1</v>
      </c>
      <c r="F289" s="4">
        <v>175.3</v>
      </c>
      <c r="G289" s="4">
        <v>154.1</v>
      </c>
      <c r="H289" s="4">
        <v>150.9</v>
      </c>
      <c r="I289" s="4">
        <v>149.6</v>
      </c>
      <c r="J289" s="4">
        <v>194.2</v>
      </c>
      <c r="K289" s="4">
        <v>160.4</v>
      </c>
      <c r="L289" s="4">
        <v>114.6</v>
      </c>
      <c r="M289" s="4">
        <v>164</v>
      </c>
      <c r="N289" s="4">
        <v>151.80000000000001</v>
      </c>
      <c r="O289" s="4">
        <v>165.6</v>
      </c>
      <c r="P289" s="4">
        <v>161</v>
      </c>
      <c r="Q289" s="4">
        <v>186.5</v>
      </c>
      <c r="R289" s="4">
        <v>155.5</v>
      </c>
      <c r="S289" s="4">
        <v>146.1</v>
      </c>
      <c r="T289" s="4">
        <v>154.19999999999999</v>
      </c>
      <c r="U289" s="4">
        <v>157.69999999999999</v>
      </c>
      <c r="V289" s="4">
        <v>147.9</v>
      </c>
      <c r="W289" s="4">
        <v>150</v>
      </c>
      <c r="X289" s="4">
        <v>159.30000000000001</v>
      </c>
      <c r="Y289" s="4">
        <v>141.9</v>
      </c>
      <c r="Z289" s="4">
        <v>149.6</v>
      </c>
      <c r="AA289" s="4">
        <v>159.19999999999999</v>
      </c>
      <c r="AB289" s="4">
        <v>156.80000000000001</v>
      </c>
      <c r="AC289" s="4">
        <v>151.9</v>
      </c>
      <c r="AD289" s="4">
        <v>157.30000000000001</v>
      </c>
    </row>
    <row r="290" spans="1:30" hidden="1" x14ac:dyDescent="0.3">
      <c r="A290" t="s">
        <v>30</v>
      </c>
      <c r="B290">
        <v>2021</v>
      </c>
      <c r="C290" t="s">
        <v>35</v>
      </c>
      <c r="D290" s="4">
        <v>142.80000000000001</v>
      </c>
      <c r="E290" s="4">
        <v>184</v>
      </c>
      <c r="F290" s="4">
        <v>168</v>
      </c>
      <c r="G290" s="4">
        <v>154.4</v>
      </c>
      <c r="H290" s="4">
        <v>163</v>
      </c>
      <c r="I290" s="4">
        <v>147.80000000000001</v>
      </c>
      <c r="J290" s="4">
        <v>149.69999999999999</v>
      </c>
      <c r="K290" s="4">
        <v>158.30000000000001</v>
      </c>
      <c r="L290" s="4">
        <v>111.8</v>
      </c>
      <c r="M290" s="4">
        <v>165</v>
      </c>
      <c r="N290" s="4">
        <v>160</v>
      </c>
      <c r="O290" s="4">
        <v>165.8</v>
      </c>
      <c r="P290" s="4">
        <v>154.69999999999999</v>
      </c>
      <c r="Q290" s="4">
        <v>186.5</v>
      </c>
      <c r="R290" s="4">
        <v>159.1</v>
      </c>
      <c r="S290" s="4">
        <v>153.9</v>
      </c>
      <c r="T290" s="4">
        <v>158.4</v>
      </c>
      <c r="U290" s="4">
        <v>159.80000000000001</v>
      </c>
      <c r="V290" s="4">
        <v>154.4</v>
      </c>
      <c r="W290" s="4">
        <v>154.80000000000001</v>
      </c>
      <c r="X290" s="4">
        <v>164.3</v>
      </c>
      <c r="Y290" s="4">
        <v>150.19999999999999</v>
      </c>
      <c r="Z290" s="4">
        <v>157</v>
      </c>
      <c r="AA290" s="4">
        <v>163.6</v>
      </c>
      <c r="AB290" s="4">
        <v>155.19999999999999</v>
      </c>
      <c r="AC290" s="4">
        <v>157.19999999999999</v>
      </c>
      <c r="AD290" s="4">
        <v>156.69999999999999</v>
      </c>
    </row>
    <row r="291" spans="1:30" hidden="1" x14ac:dyDescent="0.3">
      <c r="A291" t="s">
        <v>33</v>
      </c>
      <c r="B291">
        <v>2021</v>
      </c>
      <c r="C291" t="s">
        <v>35</v>
      </c>
      <c r="D291" s="4">
        <v>147.6</v>
      </c>
      <c r="E291" s="4">
        <v>191.2</v>
      </c>
      <c r="F291" s="4">
        <v>169.9</v>
      </c>
      <c r="G291" s="4">
        <v>155.1</v>
      </c>
      <c r="H291" s="4">
        <v>151.4</v>
      </c>
      <c r="I291" s="4">
        <v>154</v>
      </c>
      <c r="J291" s="4">
        <v>180.2</v>
      </c>
      <c r="K291" s="4">
        <v>159.80000000000001</v>
      </c>
      <c r="L291" s="4">
        <v>114.9</v>
      </c>
      <c r="M291" s="4">
        <v>162.5</v>
      </c>
      <c r="N291" s="4">
        <v>149.19999999999999</v>
      </c>
      <c r="O291" s="4">
        <v>169.4</v>
      </c>
      <c r="P291" s="4">
        <v>160.80000000000001</v>
      </c>
      <c r="Q291" s="4">
        <v>193.3</v>
      </c>
      <c r="R291" s="4">
        <v>154.19999999999999</v>
      </c>
      <c r="S291" s="4">
        <v>138.19999999999999</v>
      </c>
      <c r="T291" s="4">
        <v>151.80000000000001</v>
      </c>
      <c r="U291" s="4">
        <v>159.80000000000001</v>
      </c>
      <c r="V291" s="4">
        <v>149.1</v>
      </c>
      <c r="W291" s="4">
        <v>146.5</v>
      </c>
      <c r="X291" s="4">
        <v>156.30000000000001</v>
      </c>
      <c r="Y291" s="4">
        <v>140.5</v>
      </c>
      <c r="Z291" s="4">
        <v>147.30000000000001</v>
      </c>
      <c r="AA291" s="4">
        <v>156.6</v>
      </c>
      <c r="AB291" s="4">
        <v>156.69999999999999</v>
      </c>
      <c r="AC291" s="4">
        <v>149.30000000000001</v>
      </c>
      <c r="AD291" s="4">
        <v>156.5</v>
      </c>
    </row>
    <row r="292" spans="1:30" x14ac:dyDescent="0.3">
      <c r="A292" t="s">
        <v>34</v>
      </c>
      <c r="B292">
        <v>2021</v>
      </c>
      <c r="C292" t="s">
        <v>35</v>
      </c>
      <c r="D292" s="4">
        <v>144.30000000000001</v>
      </c>
      <c r="E292" s="4">
        <v>186.5</v>
      </c>
      <c r="F292" s="4">
        <v>168.7</v>
      </c>
      <c r="G292" s="4">
        <v>154.69999999999999</v>
      </c>
      <c r="H292" s="4">
        <v>158.69999999999999</v>
      </c>
      <c r="I292" s="4">
        <v>150.69999999999999</v>
      </c>
      <c r="J292" s="4">
        <v>160</v>
      </c>
      <c r="K292" s="4">
        <v>158.80000000000001</v>
      </c>
      <c r="L292" s="4">
        <v>112.8</v>
      </c>
      <c r="M292" s="4">
        <v>164.2</v>
      </c>
      <c r="N292" s="4">
        <v>155.5</v>
      </c>
      <c r="O292" s="4">
        <v>167.5</v>
      </c>
      <c r="P292" s="4">
        <v>156.9</v>
      </c>
      <c r="Q292" s="4">
        <v>188.3</v>
      </c>
      <c r="R292" s="4">
        <v>157.19999999999999</v>
      </c>
      <c r="S292" s="4">
        <v>147.4</v>
      </c>
      <c r="T292" s="4">
        <v>155.80000000000001</v>
      </c>
      <c r="U292" s="4">
        <v>159.80000000000001</v>
      </c>
      <c r="V292" s="4">
        <v>152.4</v>
      </c>
      <c r="W292" s="4">
        <v>150.9</v>
      </c>
      <c r="X292" s="4">
        <v>161.30000000000001</v>
      </c>
      <c r="Y292" s="4">
        <v>145.1</v>
      </c>
      <c r="Z292" s="4">
        <v>151.5</v>
      </c>
      <c r="AA292" s="4">
        <v>159.5</v>
      </c>
      <c r="AB292" s="4">
        <v>155.80000000000001</v>
      </c>
      <c r="AC292" s="4">
        <v>153.4</v>
      </c>
      <c r="AD292" s="4">
        <v>156.6</v>
      </c>
    </row>
    <row r="293" spans="1:30" hidden="1" x14ac:dyDescent="0.3">
      <c r="A293" t="s">
        <v>30</v>
      </c>
      <c r="B293">
        <v>2021</v>
      </c>
      <c r="C293" t="s">
        <v>36</v>
      </c>
      <c r="D293" s="4">
        <v>142.5</v>
      </c>
      <c r="E293" s="4">
        <v>189.4</v>
      </c>
      <c r="F293" s="4">
        <v>163.19999999999999</v>
      </c>
      <c r="G293" s="4">
        <v>154.5</v>
      </c>
      <c r="H293" s="4">
        <v>168.2</v>
      </c>
      <c r="I293" s="4">
        <v>150.5</v>
      </c>
      <c r="J293" s="4">
        <v>141</v>
      </c>
      <c r="K293" s="4">
        <v>159.19999999999999</v>
      </c>
      <c r="L293" s="4">
        <v>111.7</v>
      </c>
      <c r="M293" s="4">
        <v>164</v>
      </c>
      <c r="N293" s="4">
        <v>160.6</v>
      </c>
      <c r="O293" s="4">
        <v>166.4</v>
      </c>
      <c r="P293" s="4">
        <v>154.5</v>
      </c>
      <c r="Q293" s="4">
        <v>186.1</v>
      </c>
      <c r="R293" s="4">
        <v>159.6</v>
      </c>
      <c r="S293" s="4">
        <v>154.4</v>
      </c>
      <c r="T293" s="4">
        <v>158.9</v>
      </c>
      <c r="U293" s="4">
        <v>159.9</v>
      </c>
      <c r="V293" s="4">
        <v>156</v>
      </c>
      <c r="W293" s="4">
        <v>154.80000000000001</v>
      </c>
      <c r="X293" s="4">
        <v>164.6</v>
      </c>
      <c r="Y293" s="4">
        <v>151.30000000000001</v>
      </c>
      <c r="Z293" s="4">
        <v>157.80000000000001</v>
      </c>
      <c r="AA293" s="4">
        <v>163.80000000000001</v>
      </c>
      <c r="AB293" s="4">
        <v>153.1</v>
      </c>
      <c r="AC293" s="4">
        <v>157.30000000000001</v>
      </c>
      <c r="AD293" s="4">
        <v>156.69999999999999</v>
      </c>
    </row>
    <row r="294" spans="1:30" hidden="1" x14ac:dyDescent="0.3">
      <c r="A294" t="s">
        <v>33</v>
      </c>
      <c r="B294">
        <v>2021</v>
      </c>
      <c r="C294" t="s">
        <v>36</v>
      </c>
      <c r="D294" s="4">
        <v>147.5</v>
      </c>
      <c r="E294" s="4">
        <v>197.5</v>
      </c>
      <c r="F294" s="4">
        <v>164.7</v>
      </c>
      <c r="G294" s="4">
        <v>155.6</v>
      </c>
      <c r="H294" s="4">
        <v>156.4</v>
      </c>
      <c r="I294" s="4">
        <v>157.30000000000001</v>
      </c>
      <c r="J294" s="4">
        <v>166.1</v>
      </c>
      <c r="K294" s="4">
        <v>161.1</v>
      </c>
      <c r="L294" s="4">
        <v>114.3</v>
      </c>
      <c r="M294" s="4">
        <v>162.6</v>
      </c>
      <c r="N294" s="4">
        <v>150.69999999999999</v>
      </c>
      <c r="O294" s="4">
        <v>170.3</v>
      </c>
      <c r="P294" s="4">
        <v>160.4</v>
      </c>
      <c r="Q294" s="4">
        <v>193.5</v>
      </c>
      <c r="R294" s="4">
        <v>155.1</v>
      </c>
      <c r="S294" s="4">
        <v>138.69999999999999</v>
      </c>
      <c r="T294" s="4">
        <v>152.6</v>
      </c>
      <c r="U294" s="4">
        <v>159.9</v>
      </c>
      <c r="V294" s="4">
        <v>154.80000000000001</v>
      </c>
      <c r="W294" s="4">
        <v>147.19999999999999</v>
      </c>
      <c r="X294" s="4">
        <v>156.9</v>
      </c>
      <c r="Y294" s="4">
        <v>141.69999999999999</v>
      </c>
      <c r="Z294" s="4">
        <v>148.6</v>
      </c>
      <c r="AA294" s="4">
        <v>157.6</v>
      </c>
      <c r="AB294" s="4">
        <v>154.9</v>
      </c>
      <c r="AC294" s="4">
        <v>150</v>
      </c>
      <c r="AD294" s="4">
        <v>156.9</v>
      </c>
    </row>
    <row r="295" spans="1:30" x14ac:dyDescent="0.3">
      <c r="A295" t="s">
        <v>34</v>
      </c>
      <c r="B295">
        <v>2021</v>
      </c>
      <c r="C295" t="s">
        <v>36</v>
      </c>
      <c r="D295" s="4">
        <v>144.1</v>
      </c>
      <c r="E295" s="4">
        <v>192.2</v>
      </c>
      <c r="F295" s="4">
        <v>163.80000000000001</v>
      </c>
      <c r="G295" s="4">
        <v>154.9</v>
      </c>
      <c r="H295" s="4">
        <v>163.9</v>
      </c>
      <c r="I295" s="4">
        <v>153.69999999999999</v>
      </c>
      <c r="J295" s="4">
        <v>149.5</v>
      </c>
      <c r="K295" s="4">
        <v>159.80000000000001</v>
      </c>
      <c r="L295" s="4">
        <v>112.6</v>
      </c>
      <c r="M295" s="4">
        <v>163.5</v>
      </c>
      <c r="N295" s="4">
        <v>156.5</v>
      </c>
      <c r="O295" s="4">
        <v>168.2</v>
      </c>
      <c r="P295" s="4">
        <v>156.69999999999999</v>
      </c>
      <c r="Q295" s="4">
        <v>188.1</v>
      </c>
      <c r="R295" s="4">
        <v>157.80000000000001</v>
      </c>
      <c r="S295" s="4">
        <v>147.9</v>
      </c>
      <c r="T295" s="4">
        <v>156.4</v>
      </c>
      <c r="U295" s="4">
        <v>159.9</v>
      </c>
      <c r="V295" s="4">
        <v>155.5</v>
      </c>
      <c r="W295" s="4">
        <v>151.19999999999999</v>
      </c>
      <c r="X295" s="4">
        <v>161.69999999999999</v>
      </c>
      <c r="Y295" s="4">
        <v>146.19999999999999</v>
      </c>
      <c r="Z295" s="4">
        <v>152.6</v>
      </c>
      <c r="AA295" s="4">
        <v>160.19999999999999</v>
      </c>
      <c r="AB295" s="4">
        <v>153.80000000000001</v>
      </c>
      <c r="AC295" s="4">
        <v>153.80000000000001</v>
      </c>
      <c r="AD295" s="4">
        <v>156.80000000000001</v>
      </c>
    </row>
    <row r="296" spans="1:30" hidden="1" x14ac:dyDescent="0.3">
      <c r="A296" t="s">
        <v>30</v>
      </c>
      <c r="B296">
        <v>2021</v>
      </c>
      <c r="C296" t="s">
        <v>37</v>
      </c>
      <c r="D296" s="4">
        <v>142.69999999999999</v>
      </c>
      <c r="E296" s="4">
        <v>195.5</v>
      </c>
      <c r="F296" s="4">
        <v>163.4</v>
      </c>
      <c r="G296" s="4">
        <v>155</v>
      </c>
      <c r="H296" s="4">
        <v>175.2</v>
      </c>
      <c r="I296" s="4">
        <v>160.6</v>
      </c>
      <c r="J296" s="4">
        <v>135.1</v>
      </c>
      <c r="K296" s="4">
        <v>161.1</v>
      </c>
      <c r="L296" s="4">
        <v>112.2</v>
      </c>
      <c r="M296" s="4">
        <v>164.4</v>
      </c>
      <c r="N296" s="4">
        <v>161.9</v>
      </c>
      <c r="O296" s="4">
        <v>166.8</v>
      </c>
      <c r="P296" s="4">
        <v>155.6</v>
      </c>
      <c r="Q296" s="4">
        <v>186.8</v>
      </c>
      <c r="R296" s="4">
        <v>160.69999999999999</v>
      </c>
      <c r="S296" s="4">
        <v>155.1</v>
      </c>
      <c r="T296" s="4">
        <v>159.9</v>
      </c>
      <c r="U296" s="4">
        <v>161.4</v>
      </c>
      <c r="V296" s="4">
        <v>156</v>
      </c>
      <c r="W296" s="4">
        <v>155.5</v>
      </c>
      <c r="X296" s="4">
        <v>165.3</v>
      </c>
      <c r="Y296" s="4">
        <v>151.69999999999999</v>
      </c>
      <c r="Z296" s="4">
        <v>158.6</v>
      </c>
      <c r="AA296" s="4">
        <v>164.1</v>
      </c>
      <c r="AB296" s="4">
        <v>154.6</v>
      </c>
      <c r="AC296" s="4">
        <v>158</v>
      </c>
      <c r="AD296" s="4">
        <v>157.6</v>
      </c>
    </row>
    <row r="297" spans="1:30" hidden="1" x14ac:dyDescent="0.3">
      <c r="A297" t="s">
        <v>33</v>
      </c>
      <c r="B297">
        <v>2021</v>
      </c>
      <c r="C297" t="s">
        <v>37</v>
      </c>
      <c r="D297" s="4">
        <v>147.6</v>
      </c>
      <c r="E297" s="4">
        <v>202.5</v>
      </c>
      <c r="F297" s="4">
        <v>166.4</v>
      </c>
      <c r="G297" s="4">
        <v>156</v>
      </c>
      <c r="H297" s="4">
        <v>161.4</v>
      </c>
      <c r="I297" s="4">
        <v>168.8</v>
      </c>
      <c r="J297" s="4">
        <v>161.6</v>
      </c>
      <c r="K297" s="4">
        <v>162.80000000000001</v>
      </c>
      <c r="L297" s="4">
        <v>114.8</v>
      </c>
      <c r="M297" s="4">
        <v>162.80000000000001</v>
      </c>
      <c r="N297" s="4">
        <v>151.5</v>
      </c>
      <c r="O297" s="4">
        <v>171.4</v>
      </c>
      <c r="P297" s="4">
        <v>162</v>
      </c>
      <c r="Q297" s="4">
        <v>194.4</v>
      </c>
      <c r="R297" s="4">
        <v>155.9</v>
      </c>
      <c r="S297" s="4">
        <v>139.30000000000001</v>
      </c>
      <c r="T297" s="4">
        <v>153.4</v>
      </c>
      <c r="U297" s="4">
        <v>161.4</v>
      </c>
      <c r="V297" s="4">
        <v>154.9</v>
      </c>
      <c r="W297" s="4">
        <v>147.6</v>
      </c>
      <c r="X297" s="4">
        <v>157.5</v>
      </c>
      <c r="Y297" s="4">
        <v>142.1</v>
      </c>
      <c r="Z297" s="4">
        <v>149.1</v>
      </c>
      <c r="AA297" s="4">
        <v>157.6</v>
      </c>
      <c r="AB297" s="4">
        <v>156.6</v>
      </c>
      <c r="AC297" s="4">
        <v>150.5</v>
      </c>
      <c r="AD297" s="4">
        <v>158</v>
      </c>
    </row>
    <row r="298" spans="1:30" x14ac:dyDescent="0.3">
      <c r="A298" t="s">
        <v>34</v>
      </c>
      <c r="B298">
        <v>2021</v>
      </c>
      <c r="C298" t="s">
        <v>37</v>
      </c>
      <c r="D298" s="4">
        <v>144.30000000000001</v>
      </c>
      <c r="E298" s="4">
        <v>198</v>
      </c>
      <c r="F298" s="4">
        <v>164.6</v>
      </c>
      <c r="G298" s="4">
        <v>155.4</v>
      </c>
      <c r="H298" s="4">
        <v>170.1</v>
      </c>
      <c r="I298" s="4">
        <v>164.4</v>
      </c>
      <c r="J298" s="4">
        <v>144.1</v>
      </c>
      <c r="K298" s="4">
        <v>161.69999999999999</v>
      </c>
      <c r="L298" s="4">
        <v>113.1</v>
      </c>
      <c r="M298" s="4">
        <v>163.9</v>
      </c>
      <c r="N298" s="4">
        <v>157.6</v>
      </c>
      <c r="O298" s="4">
        <v>168.9</v>
      </c>
      <c r="P298" s="4">
        <v>158</v>
      </c>
      <c r="Q298" s="4">
        <v>188.8</v>
      </c>
      <c r="R298" s="4">
        <v>158.80000000000001</v>
      </c>
      <c r="S298" s="4">
        <v>148.5</v>
      </c>
      <c r="T298" s="4">
        <v>157.30000000000001</v>
      </c>
      <c r="U298" s="4">
        <v>161.4</v>
      </c>
      <c r="V298" s="4">
        <v>155.6</v>
      </c>
      <c r="W298" s="4">
        <v>151.80000000000001</v>
      </c>
      <c r="X298" s="4">
        <v>162.30000000000001</v>
      </c>
      <c r="Y298" s="4">
        <v>146.6</v>
      </c>
      <c r="Z298" s="4">
        <v>153.19999999999999</v>
      </c>
      <c r="AA298" s="4">
        <v>160.30000000000001</v>
      </c>
      <c r="AB298" s="4">
        <v>155.4</v>
      </c>
      <c r="AC298" s="4">
        <v>154.4</v>
      </c>
      <c r="AD298" s="4">
        <v>157.80000000000001</v>
      </c>
    </row>
    <row r="299" spans="1:30" hidden="1" x14ac:dyDescent="0.3">
      <c r="A299" t="s">
        <v>30</v>
      </c>
      <c r="B299">
        <v>2021</v>
      </c>
      <c r="C299" t="s">
        <v>38</v>
      </c>
      <c r="D299" s="4">
        <v>145.1</v>
      </c>
      <c r="E299" s="4">
        <v>198.5</v>
      </c>
      <c r="F299" s="4">
        <v>168.6</v>
      </c>
      <c r="G299" s="4">
        <v>155.80000000000001</v>
      </c>
      <c r="H299" s="4">
        <v>184.4</v>
      </c>
      <c r="I299" s="4">
        <v>162.30000000000001</v>
      </c>
      <c r="J299" s="4">
        <v>138.4</v>
      </c>
      <c r="K299" s="4">
        <v>165.1</v>
      </c>
      <c r="L299" s="4">
        <v>114.3</v>
      </c>
      <c r="M299" s="4">
        <v>169.7</v>
      </c>
      <c r="N299" s="4">
        <v>164.6</v>
      </c>
      <c r="O299" s="4">
        <v>169.8</v>
      </c>
      <c r="P299" s="4">
        <v>158.69999999999999</v>
      </c>
      <c r="Q299" s="4">
        <v>189.6</v>
      </c>
      <c r="R299" s="4">
        <v>165.3</v>
      </c>
      <c r="S299" s="4">
        <v>160.6</v>
      </c>
      <c r="T299" s="4">
        <v>164.5</v>
      </c>
      <c r="U299" s="4">
        <v>161.6</v>
      </c>
      <c r="V299" s="4">
        <v>161.69999999999999</v>
      </c>
      <c r="W299" s="4">
        <v>158.80000000000001</v>
      </c>
      <c r="X299" s="4">
        <v>169.1</v>
      </c>
      <c r="Y299" s="4">
        <v>153.19999999999999</v>
      </c>
      <c r="Z299" s="4">
        <v>160</v>
      </c>
      <c r="AA299" s="4">
        <v>167.6</v>
      </c>
      <c r="AB299" s="4">
        <v>159.30000000000001</v>
      </c>
      <c r="AC299" s="4">
        <v>161.1</v>
      </c>
      <c r="AD299" s="4">
        <v>161.1</v>
      </c>
    </row>
    <row r="300" spans="1:30" hidden="1" x14ac:dyDescent="0.3">
      <c r="A300" t="s">
        <v>33</v>
      </c>
      <c r="B300">
        <v>2021</v>
      </c>
      <c r="C300" t="s">
        <v>38</v>
      </c>
      <c r="D300" s="4">
        <v>148.80000000000001</v>
      </c>
      <c r="E300" s="4">
        <v>204.3</v>
      </c>
      <c r="F300" s="4">
        <v>173</v>
      </c>
      <c r="G300" s="4">
        <v>156.5</v>
      </c>
      <c r="H300" s="4">
        <v>168.8</v>
      </c>
      <c r="I300" s="4">
        <v>172.5</v>
      </c>
      <c r="J300" s="4">
        <v>166.5</v>
      </c>
      <c r="K300" s="4">
        <v>165.9</v>
      </c>
      <c r="L300" s="4">
        <v>115.9</v>
      </c>
      <c r="M300" s="4">
        <v>165.2</v>
      </c>
      <c r="N300" s="4">
        <v>152</v>
      </c>
      <c r="O300" s="4">
        <v>171.1</v>
      </c>
      <c r="P300" s="4">
        <v>164.2</v>
      </c>
      <c r="Q300" s="4">
        <v>198.2</v>
      </c>
      <c r="R300" s="4">
        <v>156.5</v>
      </c>
      <c r="S300" s="4">
        <v>140.19999999999999</v>
      </c>
      <c r="T300" s="4">
        <v>154.1</v>
      </c>
      <c r="U300" s="4">
        <v>161.6</v>
      </c>
      <c r="V300" s="4">
        <v>155.5</v>
      </c>
      <c r="W300" s="4">
        <v>150.1</v>
      </c>
      <c r="X300" s="4">
        <v>160.4</v>
      </c>
      <c r="Y300" s="4">
        <v>145</v>
      </c>
      <c r="Z300" s="4">
        <v>152.6</v>
      </c>
      <c r="AA300" s="4">
        <v>156.6</v>
      </c>
      <c r="AB300" s="4">
        <v>157.5</v>
      </c>
      <c r="AC300" s="4">
        <v>152.30000000000001</v>
      </c>
      <c r="AD300" s="4">
        <v>159.5</v>
      </c>
    </row>
    <row r="301" spans="1:30" x14ac:dyDescent="0.3">
      <c r="A301" t="s">
        <v>34</v>
      </c>
      <c r="B301">
        <v>2021</v>
      </c>
      <c r="C301" t="s">
        <v>38</v>
      </c>
      <c r="D301" s="4">
        <v>146.30000000000001</v>
      </c>
      <c r="E301" s="4">
        <v>200.5</v>
      </c>
      <c r="F301" s="4">
        <v>170.3</v>
      </c>
      <c r="G301" s="4">
        <v>156.1</v>
      </c>
      <c r="H301" s="4">
        <v>178.7</v>
      </c>
      <c r="I301" s="4">
        <v>167.1</v>
      </c>
      <c r="J301" s="4">
        <v>147.9</v>
      </c>
      <c r="K301" s="4">
        <v>165.4</v>
      </c>
      <c r="L301" s="4">
        <v>114.8</v>
      </c>
      <c r="M301" s="4">
        <v>168.2</v>
      </c>
      <c r="N301" s="4">
        <v>159.30000000000001</v>
      </c>
      <c r="O301" s="4">
        <v>170.4</v>
      </c>
      <c r="P301" s="4">
        <v>160.69999999999999</v>
      </c>
      <c r="Q301" s="4">
        <v>191.9</v>
      </c>
      <c r="R301" s="4">
        <v>161.80000000000001</v>
      </c>
      <c r="S301" s="4">
        <v>152.1</v>
      </c>
      <c r="T301" s="4">
        <v>160.4</v>
      </c>
      <c r="U301" s="4">
        <v>161.6</v>
      </c>
      <c r="V301" s="4">
        <v>159.4</v>
      </c>
      <c r="W301" s="4">
        <v>154.69999999999999</v>
      </c>
      <c r="X301" s="4">
        <v>165.8</v>
      </c>
      <c r="Y301" s="4">
        <v>148.9</v>
      </c>
      <c r="Z301" s="4">
        <v>155.80000000000001</v>
      </c>
      <c r="AA301" s="4">
        <v>161.19999999999999</v>
      </c>
      <c r="AB301" s="4">
        <v>158.6</v>
      </c>
      <c r="AC301" s="4">
        <v>156.80000000000001</v>
      </c>
      <c r="AD301" s="4">
        <v>160.4</v>
      </c>
    </row>
    <row r="302" spans="1:30" hidden="1" x14ac:dyDescent="0.3">
      <c r="A302" t="s">
        <v>30</v>
      </c>
      <c r="B302">
        <v>2021</v>
      </c>
      <c r="C302" t="s">
        <v>39</v>
      </c>
      <c r="D302" s="4">
        <v>145.6</v>
      </c>
      <c r="E302" s="4">
        <v>200.1</v>
      </c>
      <c r="F302" s="4">
        <v>179.3</v>
      </c>
      <c r="G302" s="4">
        <v>156.1</v>
      </c>
      <c r="H302" s="4">
        <v>190.4</v>
      </c>
      <c r="I302" s="4">
        <v>158.6</v>
      </c>
      <c r="J302" s="4">
        <v>144.69999999999999</v>
      </c>
      <c r="K302" s="4">
        <v>165.5</v>
      </c>
      <c r="L302" s="4">
        <v>114.6</v>
      </c>
      <c r="M302" s="4">
        <v>170</v>
      </c>
      <c r="N302" s="4">
        <v>165.5</v>
      </c>
      <c r="O302" s="4">
        <v>171.7</v>
      </c>
      <c r="P302" s="4">
        <v>160.5</v>
      </c>
      <c r="Q302" s="4">
        <v>189.1</v>
      </c>
      <c r="R302" s="4">
        <v>165.3</v>
      </c>
      <c r="S302" s="4">
        <v>159.9</v>
      </c>
      <c r="T302" s="4">
        <v>164.6</v>
      </c>
      <c r="U302" s="4">
        <v>160.5</v>
      </c>
      <c r="V302" s="4">
        <v>162.1</v>
      </c>
      <c r="W302" s="4">
        <v>159.19999999999999</v>
      </c>
      <c r="X302" s="4">
        <v>169.7</v>
      </c>
      <c r="Y302" s="4">
        <v>154.19999999999999</v>
      </c>
      <c r="Z302" s="4">
        <v>160.4</v>
      </c>
      <c r="AA302" s="4">
        <v>166.8</v>
      </c>
      <c r="AB302" s="4">
        <v>159.4</v>
      </c>
      <c r="AC302" s="4">
        <v>161.5</v>
      </c>
      <c r="AD302" s="4">
        <v>162.1</v>
      </c>
    </row>
    <row r="303" spans="1:30" hidden="1" x14ac:dyDescent="0.3">
      <c r="A303" t="s">
        <v>33</v>
      </c>
      <c r="B303">
        <v>2021</v>
      </c>
      <c r="C303" t="s">
        <v>39</v>
      </c>
      <c r="D303" s="4">
        <v>149.19999999999999</v>
      </c>
      <c r="E303" s="4">
        <v>205.5</v>
      </c>
      <c r="F303" s="4">
        <v>182.8</v>
      </c>
      <c r="G303" s="4">
        <v>156.5</v>
      </c>
      <c r="H303" s="4">
        <v>172.2</v>
      </c>
      <c r="I303" s="4">
        <v>171.5</v>
      </c>
      <c r="J303" s="4">
        <v>176.2</v>
      </c>
      <c r="K303" s="4">
        <v>166.9</v>
      </c>
      <c r="L303" s="4">
        <v>116.1</v>
      </c>
      <c r="M303" s="4">
        <v>165.5</v>
      </c>
      <c r="N303" s="4">
        <v>152.30000000000001</v>
      </c>
      <c r="O303" s="4">
        <v>173.3</v>
      </c>
      <c r="P303" s="4">
        <v>166.2</v>
      </c>
      <c r="Q303" s="4">
        <v>195.6</v>
      </c>
      <c r="R303" s="4">
        <v>157.30000000000001</v>
      </c>
      <c r="S303" s="4">
        <v>140.5</v>
      </c>
      <c r="T303" s="4">
        <v>154.80000000000001</v>
      </c>
      <c r="U303" s="4">
        <v>160.5</v>
      </c>
      <c r="V303" s="4">
        <v>156.1</v>
      </c>
      <c r="W303" s="4">
        <v>149.80000000000001</v>
      </c>
      <c r="X303" s="4">
        <v>160.80000000000001</v>
      </c>
      <c r="Y303" s="4">
        <v>147.5</v>
      </c>
      <c r="Z303" s="4">
        <v>150.69999999999999</v>
      </c>
      <c r="AA303" s="4">
        <v>158.1</v>
      </c>
      <c r="AB303" s="4">
        <v>158</v>
      </c>
      <c r="AC303" s="4">
        <v>153.4</v>
      </c>
      <c r="AD303" s="4">
        <v>160.4</v>
      </c>
    </row>
    <row r="304" spans="1:30" x14ac:dyDescent="0.3">
      <c r="A304" t="s">
        <v>34</v>
      </c>
      <c r="B304">
        <v>2021</v>
      </c>
      <c r="C304" t="s">
        <v>39</v>
      </c>
      <c r="D304" s="4">
        <v>146.69999999999999</v>
      </c>
      <c r="E304" s="4">
        <v>202</v>
      </c>
      <c r="F304" s="4">
        <v>180.7</v>
      </c>
      <c r="G304" s="4">
        <v>156.19999999999999</v>
      </c>
      <c r="H304" s="4">
        <v>183.7</v>
      </c>
      <c r="I304" s="4">
        <v>164.6</v>
      </c>
      <c r="J304" s="4">
        <v>155.4</v>
      </c>
      <c r="K304" s="4">
        <v>166</v>
      </c>
      <c r="L304" s="4">
        <v>115.1</v>
      </c>
      <c r="M304" s="4">
        <v>168.5</v>
      </c>
      <c r="N304" s="4">
        <v>160</v>
      </c>
      <c r="O304" s="4">
        <v>172.4</v>
      </c>
      <c r="P304" s="4">
        <v>162.6</v>
      </c>
      <c r="Q304" s="4">
        <v>190.8</v>
      </c>
      <c r="R304" s="4">
        <v>162.19999999999999</v>
      </c>
      <c r="S304" s="4">
        <v>151.80000000000001</v>
      </c>
      <c r="T304" s="4">
        <v>160.69999999999999</v>
      </c>
      <c r="U304" s="4">
        <v>160.5</v>
      </c>
      <c r="V304" s="4">
        <v>159.80000000000001</v>
      </c>
      <c r="W304" s="4">
        <v>154.80000000000001</v>
      </c>
      <c r="X304" s="4">
        <v>166.3</v>
      </c>
      <c r="Y304" s="4">
        <v>150.69999999999999</v>
      </c>
      <c r="Z304" s="4">
        <v>154.9</v>
      </c>
      <c r="AA304" s="4">
        <v>161.69999999999999</v>
      </c>
      <c r="AB304" s="4">
        <v>158.80000000000001</v>
      </c>
      <c r="AC304" s="4">
        <v>157.6</v>
      </c>
      <c r="AD304" s="4">
        <v>161.30000000000001</v>
      </c>
    </row>
    <row r="305" spans="1:30" hidden="1" x14ac:dyDescent="0.3">
      <c r="A305" t="s">
        <v>30</v>
      </c>
      <c r="B305">
        <v>2021</v>
      </c>
      <c r="C305" t="s">
        <v>40</v>
      </c>
      <c r="D305" s="4">
        <v>145.1</v>
      </c>
      <c r="E305" s="4">
        <v>204.5</v>
      </c>
      <c r="F305" s="4">
        <v>180.4</v>
      </c>
      <c r="G305" s="4">
        <v>157.1</v>
      </c>
      <c r="H305" s="4">
        <v>188.7</v>
      </c>
      <c r="I305" s="4">
        <v>157.69999999999999</v>
      </c>
      <c r="J305" s="4">
        <v>152.80000000000001</v>
      </c>
      <c r="K305" s="4">
        <v>163.6</v>
      </c>
      <c r="L305" s="4">
        <v>113.9</v>
      </c>
      <c r="M305" s="4">
        <v>169.7</v>
      </c>
      <c r="N305" s="4">
        <v>166.2</v>
      </c>
      <c r="O305" s="4">
        <v>171</v>
      </c>
      <c r="P305" s="4">
        <v>161.69999999999999</v>
      </c>
      <c r="Q305" s="4">
        <v>189.7</v>
      </c>
      <c r="R305" s="4">
        <v>166</v>
      </c>
      <c r="S305" s="4">
        <v>161.1</v>
      </c>
      <c r="T305" s="4">
        <v>165.3</v>
      </c>
      <c r="U305" s="4">
        <v>161.5</v>
      </c>
      <c r="V305" s="4">
        <v>162.5</v>
      </c>
      <c r="W305" s="4">
        <v>160.30000000000001</v>
      </c>
      <c r="X305" s="4">
        <v>170.4</v>
      </c>
      <c r="Y305" s="4">
        <v>157.1</v>
      </c>
      <c r="Z305" s="4">
        <v>160.69999999999999</v>
      </c>
      <c r="AA305" s="4">
        <v>167.2</v>
      </c>
      <c r="AB305" s="4">
        <v>160.4</v>
      </c>
      <c r="AC305" s="4">
        <v>162.80000000000001</v>
      </c>
      <c r="AD305" s="4">
        <v>163.19999999999999</v>
      </c>
    </row>
    <row r="306" spans="1:30" hidden="1" x14ac:dyDescent="0.3">
      <c r="A306" t="s">
        <v>33</v>
      </c>
      <c r="B306">
        <v>2021</v>
      </c>
      <c r="C306" t="s">
        <v>40</v>
      </c>
      <c r="D306" s="4">
        <v>149.1</v>
      </c>
      <c r="E306" s="4">
        <v>210.9</v>
      </c>
      <c r="F306" s="4">
        <v>185</v>
      </c>
      <c r="G306" s="4">
        <v>158.19999999999999</v>
      </c>
      <c r="H306" s="4">
        <v>170.6</v>
      </c>
      <c r="I306" s="4">
        <v>170.9</v>
      </c>
      <c r="J306" s="4">
        <v>186.4</v>
      </c>
      <c r="K306" s="4">
        <v>164.7</v>
      </c>
      <c r="L306" s="4">
        <v>115.7</v>
      </c>
      <c r="M306" s="4">
        <v>165.5</v>
      </c>
      <c r="N306" s="4">
        <v>153.4</v>
      </c>
      <c r="O306" s="4">
        <v>173.5</v>
      </c>
      <c r="P306" s="4">
        <v>167.9</v>
      </c>
      <c r="Q306" s="4">
        <v>195.5</v>
      </c>
      <c r="R306" s="4">
        <v>157.9</v>
      </c>
      <c r="S306" s="4">
        <v>141.9</v>
      </c>
      <c r="T306" s="4">
        <v>155.5</v>
      </c>
      <c r="U306" s="4">
        <v>161.5</v>
      </c>
      <c r="V306" s="4">
        <v>157.69999999999999</v>
      </c>
      <c r="W306" s="4">
        <v>150.69999999999999</v>
      </c>
      <c r="X306" s="4">
        <v>161.5</v>
      </c>
      <c r="Y306" s="4">
        <v>149.5</v>
      </c>
      <c r="Z306" s="4">
        <v>151.19999999999999</v>
      </c>
      <c r="AA306" s="4">
        <v>160.30000000000001</v>
      </c>
      <c r="AB306" s="4">
        <v>159.6</v>
      </c>
      <c r="AC306" s="4">
        <v>155</v>
      </c>
      <c r="AD306" s="4">
        <v>161.80000000000001</v>
      </c>
    </row>
    <row r="307" spans="1:30" x14ac:dyDescent="0.3">
      <c r="A307" t="s">
        <v>34</v>
      </c>
      <c r="B307">
        <v>2021</v>
      </c>
      <c r="C307" t="s">
        <v>40</v>
      </c>
      <c r="D307" s="4">
        <v>146.4</v>
      </c>
      <c r="E307" s="4">
        <v>206.8</v>
      </c>
      <c r="F307" s="4">
        <v>182.2</v>
      </c>
      <c r="G307" s="4">
        <v>157.5</v>
      </c>
      <c r="H307" s="4">
        <v>182.1</v>
      </c>
      <c r="I307" s="4">
        <v>163.9</v>
      </c>
      <c r="J307" s="4">
        <v>164.2</v>
      </c>
      <c r="K307" s="4">
        <v>164</v>
      </c>
      <c r="L307" s="4">
        <v>114.5</v>
      </c>
      <c r="M307" s="4">
        <v>168.3</v>
      </c>
      <c r="N307" s="4">
        <v>160.9</v>
      </c>
      <c r="O307" s="4">
        <v>172.2</v>
      </c>
      <c r="P307" s="4">
        <v>164</v>
      </c>
      <c r="Q307" s="4">
        <v>191.2</v>
      </c>
      <c r="R307" s="4">
        <v>162.80000000000001</v>
      </c>
      <c r="S307" s="4">
        <v>153.1</v>
      </c>
      <c r="T307" s="4">
        <v>161.4</v>
      </c>
      <c r="U307" s="4">
        <v>161.5</v>
      </c>
      <c r="V307" s="4">
        <v>160.69999999999999</v>
      </c>
      <c r="W307" s="4">
        <v>155.80000000000001</v>
      </c>
      <c r="X307" s="4">
        <v>167</v>
      </c>
      <c r="Y307" s="4">
        <v>153.1</v>
      </c>
      <c r="Z307" s="4">
        <v>155.30000000000001</v>
      </c>
      <c r="AA307" s="4">
        <v>163.19999999999999</v>
      </c>
      <c r="AB307" s="4">
        <v>160.1</v>
      </c>
      <c r="AC307" s="4">
        <v>159</v>
      </c>
      <c r="AD307" s="4">
        <v>162.5</v>
      </c>
    </row>
    <row r="308" spans="1:30" hidden="1" x14ac:dyDescent="0.3">
      <c r="A308" t="s">
        <v>30</v>
      </c>
      <c r="B308">
        <v>2021</v>
      </c>
      <c r="C308" t="s">
        <v>41</v>
      </c>
      <c r="D308" s="4">
        <v>144.9</v>
      </c>
      <c r="E308" s="4">
        <v>202.3</v>
      </c>
      <c r="F308" s="4">
        <v>176.5</v>
      </c>
      <c r="G308" s="4">
        <v>157.5</v>
      </c>
      <c r="H308" s="4">
        <v>190.9</v>
      </c>
      <c r="I308" s="4">
        <v>155.69999999999999</v>
      </c>
      <c r="J308" s="4">
        <v>153.9</v>
      </c>
      <c r="K308" s="4">
        <v>162.80000000000001</v>
      </c>
      <c r="L308" s="4">
        <v>115.2</v>
      </c>
      <c r="M308" s="4">
        <v>169.8</v>
      </c>
      <c r="N308" s="4">
        <v>167.6</v>
      </c>
      <c r="O308" s="4">
        <v>171.9</v>
      </c>
      <c r="P308" s="4">
        <v>161.80000000000001</v>
      </c>
      <c r="Q308" s="4">
        <v>190.2</v>
      </c>
      <c r="R308" s="4">
        <v>167</v>
      </c>
      <c r="S308" s="4">
        <v>162.6</v>
      </c>
      <c r="T308" s="4">
        <v>166.3</v>
      </c>
      <c r="U308" s="4">
        <v>162.1</v>
      </c>
      <c r="V308" s="4">
        <v>163.1</v>
      </c>
      <c r="W308" s="4">
        <v>160.9</v>
      </c>
      <c r="X308" s="4">
        <v>171.1</v>
      </c>
      <c r="Y308" s="4">
        <v>157.69999999999999</v>
      </c>
      <c r="Z308" s="4">
        <v>161.1</v>
      </c>
      <c r="AA308" s="4">
        <v>167.5</v>
      </c>
      <c r="AB308" s="4">
        <v>160.30000000000001</v>
      </c>
      <c r="AC308" s="4">
        <v>163.30000000000001</v>
      </c>
      <c r="AD308" s="4">
        <v>163.6</v>
      </c>
    </row>
    <row r="309" spans="1:30" hidden="1" x14ac:dyDescent="0.3">
      <c r="A309" t="s">
        <v>33</v>
      </c>
      <c r="B309">
        <v>2021</v>
      </c>
      <c r="C309" t="s">
        <v>41</v>
      </c>
      <c r="D309" s="4">
        <v>149.30000000000001</v>
      </c>
      <c r="E309" s="4">
        <v>207.4</v>
      </c>
      <c r="F309" s="4">
        <v>174.1</v>
      </c>
      <c r="G309" s="4">
        <v>159.19999999999999</v>
      </c>
      <c r="H309" s="4">
        <v>175</v>
      </c>
      <c r="I309" s="4">
        <v>161.30000000000001</v>
      </c>
      <c r="J309" s="4">
        <v>183.3</v>
      </c>
      <c r="K309" s="4">
        <v>164.5</v>
      </c>
      <c r="L309" s="4">
        <v>120.4</v>
      </c>
      <c r="M309" s="4">
        <v>166.2</v>
      </c>
      <c r="N309" s="4">
        <v>154.80000000000001</v>
      </c>
      <c r="O309" s="4">
        <v>175.1</v>
      </c>
      <c r="P309" s="4">
        <v>167.3</v>
      </c>
      <c r="Q309" s="4">
        <v>196.5</v>
      </c>
      <c r="R309" s="4">
        <v>159.80000000000001</v>
      </c>
      <c r="S309" s="4">
        <v>143.6</v>
      </c>
      <c r="T309" s="4">
        <v>157.30000000000001</v>
      </c>
      <c r="U309" s="4">
        <v>162.1</v>
      </c>
      <c r="V309" s="4">
        <v>160.69999999999999</v>
      </c>
      <c r="W309" s="4">
        <v>153.19999999999999</v>
      </c>
      <c r="X309" s="4">
        <v>162.80000000000001</v>
      </c>
      <c r="Y309" s="4">
        <v>150.4</v>
      </c>
      <c r="Z309" s="4">
        <v>153.69999999999999</v>
      </c>
      <c r="AA309" s="4">
        <v>160.4</v>
      </c>
      <c r="AB309" s="4">
        <v>159.6</v>
      </c>
      <c r="AC309" s="4">
        <v>156</v>
      </c>
      <c r="AD309" s="4">
        <v>162.30000000000001</v>
      </c>
    </row>
    <row r="310" spans="1:30" x14ac:dyDescent="0.3">
      <c r="A310" t="s">
        <v>34</v>
      </c>
      <c r="B310">
        <v>2021</v>
      </c>
      <c r="C310" t="s">
        <v>41</v>
      </c>
      <c r="D310" s="4">
        <v>146.6</v>
      </c>
      <c r="E310" s="4">
        <v>204</v>
      </c>
      <c r="F310" s="4">
        <v>172.8</v>
      </c>
      <c r="G310" s="4">
        <v>158.4</v>
      </c>
      <c r="H310" s="4">
        <v>188</v>
      </c>
      <c r="I310" s="4">
        <v>156.80000000000001</v>
      </c>
      <c r="J310" s="4">
        <v>162.19999999999999</v>
      </c>
      <c r="K310" s="4">
        <v>164.1</v>
      </c>
      <c r="L310" s="4">
        <v>119.7</v>
      </c>
      <c r="M310" s="4">
        <v>168.8</v>
      </c>
      <c r="N310" s="4">
        <v>162.69999999999999</v>
      </c>
      <c r="O310" s="4">
        <v>173.9</v>
      </c>
      <c r="P310" s="4">
        <v>164</v>
      </c>
      <c r="Q310" s="4">
        <v>192.1</v>
      </c>
      <c r="R310" s="4">
        <v>164.5</v>
      </c>
      <c r="S310" s="4">
        <v>155.30000000000001</v>
      </c>
      <c r="T310" s="4">
        <v>163.19999999999999</v>
      </c>
      <c r="U310" s="4">
        <v>162.1</v>
      </c>
      <c r="V310" s="4">
        <v>162.6</v>
      </c>
      <c r="W310" s="4">
        <v>157.5</v>
      </c>
      <c r="X310" s="4">
        <v>168.4</v>
      </c>
      <c r="Y310" s="4">
        <v>154</v>
      </c>
      <c r="Z310" s="4">
        <v>157.6</v>
      </c>
      <c r="AA310" s="4">
        <v>163.80000000000001</v>
      </c>
      <c r="AB310" s="4">
        <v>160</v>
      </c>
      <c r="AC310" s="4">
        <v>160</v>
      </c>
      <c r="AD310" s="4">
        <v>163.19999999999999</v>
      </c>
    </row>
    <row r="311" spans="1:30" hidden="1" x14ac:dyDescent="0.3">
      <c r="A311" t="s">
        <v>30</v>
      </c>
      <c r="B311">
        <v>2021</v>
      </c>
      <c r="C311" t="s">
        <v>42</v>
      </c>
      <c r="D311" s="4">
        <v>145.4</v>
      </c>
      <c r="E311" s="4">
        <v>202.1</v>
      </c>
      <c r="F311" s="4">
        <v>172</v>
      </c>
      <c r="G311" s="4">
        <v>158</v>
      </c>
      <c r="H311" s="4">
        <v>195.5</v>
      </c>
      <c r="I311" s="4">
        <v>152.69999999999999</v>
      </c>
      <c r="J311" s="4">
        <v>151.4</v>
      </c>
      <c r="K311" s="4">
        <v>163.9</v>
      </c>
      <c r="L311" s="4">
        <v>119.3</v>
      </c>
      <c r="M311" s="4">
        <v>170.1</v>
      </c>
      <c r="N311" s="4">
        <v>168.3</v>
      </c>
      <c r="O311" s="4">
        <v>172.8</v>
      </c>
      <c r="P311" s="4">
        <v>162.1</v>
      </c>
      <c r="Q311" s="4">
        <v>190.5</v>
      </c>
      <c r="R311" s="4">
        <v>167.7</v>
      </c>
      <c r="S311" s="4">
        <v>163.6</v>
      </c>
      <c r="T311" s="4">
        <v>167.1</v>
      </c>
      <c r="U311" s="4">
        <v>162.1</v>
      </c>
      <c r="V311" s="4">
        <v>163.69999999999999</v>
      </c>
      <c r="W311" s="4">
        <v>161.30000000000001</v>
      </c>
      <c r="X311" s="4">
        <v>171.9</v>
      </c>
      <c r="Y311" s="4">
        <v>157.80000000000001</v>
      </c>
      <c r="Z311" s="4">
        <v>162.69999999999999</v>
      </c>
      <c r="AA311" s="4">
        <v>168.5</v>
      </c>
      <c r="AB311" s="4">
        <v>160.19999999999999</v>
      </c>
      <c r="AC311" s="4">
        <v>163.80000000000001</v>
      </c>
      <c r="AD311" s="4">
        <v>164</v>
      </c>
    </row>
    <row r="312" spans="1:30" hidden="1" x14ac:dyDescent="0.3">
      <c r="A312" t="s">
        <v>33</v>
      </c>
      <c r="B312">
        <v>2021</v>
      </c>
      <c r="C312" t="s">
        <v>42</v>
      </c>
      <c r="D312" s="4">
        <v>149.30000000000001</v>
      </c>
      <c r="E312" s="4">
        <v>207.4</v>
      </c>
      <c r="F312" s="4">
        <v>174.1</v>
      </c>
      <c r="G312" s="4">
        <v>159.1</v>
      </c>
      <c r="H312" s="4">
        <v>175</v>
      </c>
      <c r="I312" s="4">
        <v>161.19999999999999</v>
      </c>
      <c r="J312" s="4">
        <v>183.5</v>
      </c>
      <c r="K312" s="4">
        <v>164.5</v>
      </c>
      <c r="L312" s="4">
        <v>120.4</v>
      </c>
      <c r="M312" s="4">
        <v>166.2</v>
      </c>
      <c r="N312" s="4">
        <v>154.80000000000001</v>
      </c>
      <c r="O312" s="4">
        <v>175.1</v>
      </c>
      <c r="P312" s="4">
        <v>167.3</v>
      </c>
      <c r="Q312" s="4">
        <v>196.5</v>
      </c>
      <c r="R312" s="4">
        <v>159.80000000000001</v>
      </c>
      <c r="S312" s="4">
        <v>143.6</v>
      </c>
      <c r="T312" s="4">
        <v>157.4</v>
      </c>
      <c r="U312" s="4">
        <v>162.1</v>
      </c>
      <c r="V312" s="4">
        <v>160.80000000000001</v>
      </c>
      <c r="W312" s="4">
        <v>153.30000000000001</v>
      </c>
      <c r="X312" s="4">
        <v>162.80000000000001</v>
      </c>
      <c r="Y312" s="4">
        <v>150.5</v>
      </c>
      <c r="Z312" s="4">
        <v>153.9</v>
      </c>
      <c r="AA312" s="4">
        <v>160.30000000000001</v>
      </c>
      <c r="AB312" s="4">
        <v>159.6</v>
      </c>
      <c r="AC312" s="4">
        <v>156</v>
      </c>
      <c r="AD312" s="4">
        <v>162.30000000000001</v>
      </c>
    </row>
    <row r="313" spans="1:30" x14ac:dyDescent="0.3">
      <c r="A313" t="s">
        <v>34</v>
      </c>
      <c r="B313">
        <v>2021</v>
      </c>
      <c r="C313" t="s">
        <v>42</v>
      </c>
      <c r="D313" s="4">
        <v>146.6</v>
      </c>
      <c r="E313" s="4">
        <v>204</v>
      </c>
      <c r="F313" s="4">
        <v>172.8</v>
      </c>
      <c r="G313" s="4">
        <v>158.4</v>
      </c>
      <c r="H313" s="4">
        <v>188</v>
      </c>
      <c r="I313" s="4">
        <v>156.69999999999999</v>
      </c>
      <c r="J313" s="4">
        <v>162.30000000000001</v>
      </c>
      <c r="K313" s="4">
        <v>164.1</v>
      </c>
      <c r="L313" s="4">
        <v>119.7</v>
      </c>
      <c r="M313" s="4">
        <v>168.8</v>
      </c>
      <c r="N313" s="4">
        <v>162.69999999999999</v>
      </c>
      <c r="O313" s="4">
        <v>173.9</v>
      </c>
      <c r="P313" s="4">
        <v>164</v>
      </c>
      <c r="Q313" s="4">
        <v>192.1</v>
      </c>
      <c r="R313" s="4">
        <v>164.6</v>
      </c>
      <c r="S313" s="4">
        <v>155.30000000000001</v>
      </c>
      <c r="T313" s="4">
        <v>163.30000000000001</v>
      </c>
      <c r="U313" s="4">
        <v>162.1</v>
      </c>
      <c r="V313" s="4">
        <v>162.6</v>
      </c>
      <c r="W313" s="4">
        <v>157.5</v>
      </c>
      <c r="X313" s="4">
        <v>168.4</v>
      </c>
      <c r="Y313" s="4">
        <v>154</v>
      </c>
      <c r="Z313" s="4">
        <v>157.69999999999999</v>
      </c>
      <c r="AA313" s="4">
        <v>163.69999999999999</v>
      </c>
      <c r="AB313" s="4">
        <v>160</v>
      </c>
      <c r="AC313" s="4">
        <v>160</v>
      </c>
      <c r="AD313" s="4">
        <v>163.19999999999999</v>
      </c>
    </row>
    <row r="314" spans="1:30" hidden="1" x14ac:dyDescent="0.3">
      <c r="A314" t="s">
        <v>30</v>
      </c>
      <c r="B314">
        <v>2021</v>
      </c>
      <c r="C314" t="s">
        <v>43</v>
      </c>
      <c r="D314" s="4">
        <v>146.1</v>
      </c>
      <c r="E314" s="4">
        <v>202.5</v>
      </c>
      <c r="F314" s="4">
        <v>170.1</v>
      </c>
      <c r="G314" s="4">
        <v>158.4</v>
      </c>
      <c r="H314" s="4">
        <v>198.8</v>
      </c>
      <c r="I314" s="4">
        <v>152.6</v>
      </c>
      <c r="J314" s="4">
        <v>170.4</v>
      </c>
      <c r="K314" s="4">
        <v>165.2</v>
      </c>
      <c r="L314" s="4">
        <v>121.6</v>
      </c>
      <c r="M314" s="4">
        <v>170.6</v>
      </c>
      <c r="N314" s="4">
        <v>168.8</v>
      </c>
      <c r="O314" s="4">
        <v>173.6</v>
      </c>
      <c r="P314" s="4">
        <v>165.5</v>
      </c>
      <c r="Q314" s="4">
        <v>191.2</v>
      </c>
      <c r="R314" s="4">
        <v>168.9</v>
      </c>
      <c r="S314" s="4">
        <v>164.8</v>
      </c>
      <c r="T314" s="4">
        <v>168.3</v>
      </c>
      <c r="U314" s="4">
        <v>163.6</v>
      </c>
      <c r="V314" s="4">
        <v>165.5</v>
      </c>
      <c r="W314" s="4">
        <v>162</v>
      </c>
      <c r="X314" s="4">
        <v>172.5</v>
      </c>
      <c r="Y314" s="4">
        <v>159.5</v>
      </c>
      <c r="Z314" s="4">
        <v>163.19999999999999</v>
      </c>
      <c r="AA314" s="4">
        <v>169</v>
      </c>
      <c r="AB314" s="4">
        <v>161.1</v>
      </c>
      <c r="AC314" s="4">
        <v>164.7</v>
      </c>
      <c r="AD314" s="4">
        <v>166.3</v>
      </c>
    </row>
    <row r="315" spans="1:30" hidden="1" x14ac:dyDescent="0.3">
      <c r="A315" t="s">
        <v>33</v>
      </c>
      <c r="B315">
        <v>2021</v>
      </c>
      <c r="C315" t="s">
        <v>43</v>
      </c>
      <c r="D315" s="4">
        <v>150.1</v>
      </c>
      <c r="E315" s="4">
        <v>208.4</v>
      </c>
      <c r="F315" s="4">
        <v>173</v>
      </c>
      <c r="G315" s="4">
        <v>159.19999999999999</v>
      </c>
      <c r="H315" s="4">
        <v>176.6</v>
      </c>
      <c r="I315" s="4">
        <v>159.30000000000001</v>
      </c>
      <c r="J315" s="4">
        <v>214.4</v>
      </c>
      <c r="K315" s="4">
        <v>165.3</v>
      </c>
      <c r="L315" s="4">
        <v>122.5</v>
      </c>
      <c r="M315" s="4">
        <v>166.8</v>
      </c>
      <c r="N315" s="4">
        <v>155.4</v>
      </c>
      <c r="O315" s="4">
        <v>175.9</v>
      </c>
      <c r="P315" s="4">
        <v>171.5</v>
      </c>
      <c r="Q315" s="4">
        <v>197</v>
      </c>
      <c r="R315" s="4">
        <v>160.80000000000001</v>
      </c>
      <c r="S315" s="4">
        <v>144.4</v>
      </c>
      <c r="T315" s="4">
        <v>158.30000000000001</v>
      </c>
      <c r="U315" s="4">
        <v>163.6</v>
      </c>
      <c r="V315" s="4">
        <v>162.19999999999999</v>
      </c>
      <c r="W315" s="4">
        <v>154.30000000000001</v>
      </c>
      <c r="X315" s="4">
        <v>163.5</v>
      </c>
      <c r="Y315" s="4">
        <v>152.19999999999999</v>
      </c>
      <c r="Z315" s="4">
        <v>155.1</v>
      </c>
      <c r="AA315" s="4">
        <v>160.30000000000001</v>
      </c>
      <c r="AB315" s="4">
        <v>160.30000000000001</v>
      </c>
      <c r="AC315" s="4">
        <v>157</v>
      </c>
      <c r="AD315" s="4">
        <v>164.6</v>
      </c>
    </row>
    <row r="316" spans="1:30" x14ac:dyDescent="0.3">
      <c r="A316" t="s">
        <v>34</v>
      </c>
      <c r="B316">
        <v>2021</v>
      </c>
      <c r="C316" t="s">
        <v>43</v>
      </c>
      <c r="D316" s="4">
        <v>147.4</v>
      </c>
      <c r="E316" s="4">
        <v>204.6</v>
      </c>
      <c r="F316" s="4">
        <v>171.2</v>
      </c>
      <c r="G316" s="4">
        <v>158.69999999999999</v>
      </c>
      <c r="H316" s="4">
        <v>190.6</v>
      </c>
      <c r="I316" s="4">
        <v>155.69999999999999</v>
      </c>
      <c r="J316" s="4">
        <v>185.3</v>
      </c>
      <c r="K316" s="4">
        <v>165.2</v>
      </c>
      <c r="L316" s="4">
        <v>121.9</v>
      </c>
      <c r="M316" s="4">
        <v>169.3</v>
      </c>
      <c r="N316" s="4">
        <v>163.19999999999999</v>
      </c>
      <c r="O316" s="4">
        <v>174.7</v>
      </c>
      <c r="P316" s="4">
        <v>167.7</v>
      </c>
      <c r="Q316" s="4">
        <v>192.7</v>
      </c>
      <c r="R316" s="4">
        <v>165.7</v>
      </c>
      <c r="S316" s="4">
        <v>156.30000000000001</v>
      </c>
      <c r="T316" s="4">
        <v>164.3</v>
      </c>
      <c r="U316" s="4">
        <v>163.6</v>
      </c>
      <c r="V316" s="4">
        <v>164.2</v>
      </c>
      <c r="W316" s="4">
        <v>158.4</v>
      </c>
      <c r="X316" s="4">
        <v>169.1</v>
      </c>
      <c r="Y316" s="4">
        <v>155.69999999999999</v>
      </c>
      <c r="Z316" s="4">
        <v>158.6</v>
      </c>
      <c r="AA316" s="4">
        <v>163.9</v>
      </c>
      <c r="AB316" s="4">
        <v>160.80000000000001</v>
      </c>
      <c r="AC316" s="4">
        <v>161</v>
      </c>
      <c r="AD316" s="4">
        <v>165.5</v>
      </c>
    </row>
    <row r="317" spans="1:30" hidden="1" x14ac:dyDescent="0.3">
      <c r="A317" t="s">
        <v>30</v>
      </c>
      <c r="B317">
        <v>2021</v>
      </c>
      <c r="C317" t="s">
        <v>45</v>
      </c>
      <c r="D317" s="4">
        <v>146.9</v>
      </c>
      <c r="E317" s="4">
        <v>199.8</v>
      </c>
      <c r="F317" s="4">
        <v>171.5</v>
      </c>
      <c r="G317" s="4">
        <v>159.1</v>
      </c>
      <c r="H317" s="4">
        <v>198.4</v>
      </c>
      <c r="I317" s="4">
        <v>153.19999999999999</v>
      </c>
      <c r="J317" s="4">
        <v>183.9</v>
      </c>
      <c r="K317" s="4">
        <v>165.4</v>
      </c>
      <c r="L317" s="4">
        <v>122.1</v>
      </c>
      <c r="M317" s="4">
        <v>170.8</v>
      </c>
      <c r="N317" s="4">
        <v>169.1</v>
      </c>
      <c r="O317" s="4">
        <v>174.3</v>
      </c>
      <c r="P317" s="4">
        <v>167.5</v>
      </c>
      <c r="Q317" s="4">
        <v>191.4</v>
      </c>
      <c r="R317" s="4">
        <v>170.4</v>
      </c>
      <c r="S317" s="4">
        <v>166</v>
      </c>
      <c r="T317" s="4">
        <v>169.8</v>
      </c>
      <c r="U317" s="4">
        <v>164.2</v>
      </c>
      <c r="V317" s="4">
        <v>165.3</v>
      </c>
      <c r="W317" s="4">
        <v>162.9</v>
      </c>
      <c r="X317" s="4">
        <v>173.4</v>
      </c>
      <c r="Y317" s="4">
        <v>158.9</v>
      </c>
      <c r="Z317" s="4">
        <v>163.80000000000001</v>
      </c>
      <c r="AA317" s="4">
        <v>169.3</v>
      </c>
      <c r="AB317" s="4">
        <v>162.4</v>
      </c>
      <c r="AC317" s="4">
        <v>165.2</v>
      </c>
      <c r="AD317" s="4">
        <v>167.6</v>
      </c>
    </row>
    <row r="318" spans="1:30" hidden="1" x14ac:dyDescent="0.3">
      <c r="A318" t="s">
        <v>33</v>
      </c>
      <c r="B318">
        <v>2021</v>
      </c>
      <c r="C318" t="s">
        <v>45</v>
      </c>
      <c r="D318" s="4">
        <v>151</v>
      </c>
      <c r="E318" s="4">
        <v>204.9</v>
      </c>
      <c r="F318" s="4">
        <v>175.4</v>
      </c>
      <c r="G318" s="4">
        <v>159.6</v>
      </c>
      <c r="H318" s="4">
        <v>175.8</v>
      </c>
      <c r="I318" s="4">
        <v>160.30000000000001</v>
      </c>
      <c r="J318" s="4">
        <v>229.1</v>
      </c>
      <c r="K318" s="4">
        <v>165.1</v>
      </c>
      <c r="L318" s="4">
        <v>123.1</v>
      </c>
      <c r="M318" s="4">
        <v>167.2</v>
      </c>
      <c r="N318" s="4">
        <v>156.1</v>
      </c>
      <c r="O318" s="4">
        <v>176.8</v>
      </c>
      <c r="P318" s="4">
        <v>173.5</v>
      </c>
      <c r="Q318" s="4">
        <v>197</v>
      </c>
      <c r="R318" s="4">
        <v>162.30000000000001</v>
      </c>
      <c r="S318" s="4">
        <v>145.30000000000001</v>
      </c>
      <c r="T318" s="4">
        <v>159.69999999999999</v>
      </c>
      <c r="U318" s="4">
        <v>164.2</v>
      </c>
      <c r="V318" s="4">
        <v>161.6</v>
      </c>
      <c r="W318" s="4">
        <v>155.19999999999999</v>
      </c>
      <c r="X318" s="4">
        <v>164.2</v>
      </c>
      <c r="Y318" s="4">
        <v>151.19999999999999</v>
      </c>
      <c r="Z318" s="4">
        <v>156.69999999999999</v>
      </c>
      <c r="AA318" s="4">
        <v>160.80000000000001</v>
      </c>
      <c r="AB318" s="4">
        <v>161.80000000000001</v>
      </c>
      <c r="AC318" s="4">
        <v>157.30000000000001</v>
      </c>
      <c r="AD318" s="4">
        <v>165.6</v>
      </c>
    </row>
    <row r="319" spans="1:30" x14ac:dyDescent="0.3">
      <c r="A319" t="s">
        <v>34</v>
      </c>
      <c r="B319">
        <v>2021</v>
      </c>
      <c r="C319" t="s">
        <v>45</v>
      </c>
      <c r="D319" s="4">
        <v>148.19999999999999</v>
      </c>
      <c r="E319" s="4">
        <v>201.6</v>
      </c>
      <c r="F319" s="4">
        <v>173</v>
      </c>
      <c r="G319" s="4">
        <v>159.30000000000001</v>
      </c>
      <c r="H319" s="4">
        <v>190.1</v>
      </c>
      <c r="I319" s="4">
        <v>156.5</v>
      </c>
      <c r="J319" s="4">
        <v>199.2</v>
      </c>
      <c r="K319" s="4">
        <v>165.3</v>
      </c>
      <c r="L319" s="4">
        <v>122.4</v>
      </c>
      <c r="M319" s="4">
        <v>169.6</v>
      </c>
      <c r="N319" s="4">
        <v>163.69999999999999</v>
      </c>
      <c r="O319" s="4">
        <v>175.5</v>
      </c>
      <c r="P319" s="4">
        <v>169.7</v>
      </c>
      <c r="Q319" s="4">
        <v>192.9</v>
      </c>
      <c r="R319" s="4">
        <v>167.2</v>
      </c>
      <c r="S319" s="4">
        <v>157.4</v>
      </c>
      <c r="T319" s="4">
        <v>165.8</v>
      </c>
      <c r="U319" s="4">
        <v>164.2</v>
      </c>
      <c r="V319" s="4">
        <v>163.9</v>
      </c>
      <c r="W319" s="4">
        <v>159.30000000000001</v>
      </c>
      <c r="X319" s="4">
        <v>169.9</v>
      </c>
      <c r="Y319" s="4">
        <v>154.80000000000001</v>
      </c>
      <c r="Z319" s="4">
        <v>159.80000000000001</v>
      </c>
      <c r="AA319" s="4">
        <v>164.3</v>
      </c>
      <c r="AB319" s="4">
        <v>162.19999999999999</v>
      </c>
      <c r="AC319" s="4">
        <v>161.4</v>
      </c>
      <c r="AD319" s="4">
        <v>166.7</v>
      </c>
    </row>
    <row r="320" spans="1:30" hidden="1" x14ac:dyDescent="0.3">
      <c r="A320" t="s">
        <v>30</v>
      </c>
      <c r="B320">
        <v>2021</v>
      </c>
      <c r="C320" t="s">
        <v>46</v>
      </c>
      <c r="D320" s="4">
        <v>147.4</v>
      </c>
      <c r="E320" s="4">
        <v>197</v>
      </c>
      <c r="F320" s="4">
        <v>176.5</v>
      </c>
      <c r="G320" s="4">
        <v>159.80000000000001</v>
      </c>
      <c r="H320" s="4">
        <v>195.8</v>
      </c>
      <c r="I320" s="4">
        <v>152</v>
      </c>
      <c r="J320" s="4">
        <v>172.3</v>
      </c>
      <c r="K320" s="4">
        <v>164.5</v>
      </c>
      <c r="L320" s="4">
        <v>120.6</v>
      </c>
      <c r="M320" s="4">
        <v>171.7</v>
      </c>
      <c r="N320" s="4">
        <v>169.7</v>
      </c>
      <c r="O320" s="4">
        <v>175.1</v>
      </c>
      <c r="P320" s="4">
        <v>165.8</v>
      </c>
      <c r="Q320" s="4">
        <v>190.8</v>
      </c>
      <c r="R320" s="4">
        <v>171.8</v>
      </c>
      <c r="S320" s="4">
        <v>167.3</v>
      </c>
      <c r="T320" s="4">
        <v>171.2</v>
      </c>
      <c r="U320" s="4">
        <v>163.4</v>
      </c>
      <c r="V320" s="4">
        <v>165.6</v>
      </c>
      <c r="W320" s="4">
        <v>163.9</v>
      </c>
      <c r="X320" s="4">
        <v>174</v>
      </c>
      <c r="Y320" s="4">
        <v>160.1</v>
      </c>
      <c r="Z320" s="4">
        <v>164.5</v>
      </c>
      <c r="AA320" s="4">
        <v>169.7</v>
      </c>
      <c r="AB320" s="4">
        <v>162.80000000000001</v>
      </c>
      <c r="AC320" s="4">
        <v>166</v>
      </c>
      <c r="AD320" s="4">
        <v>167</v>
      </c>
    </row>
    <row r="321" spans="1:30" hidden="1" x14ac:dyDescent="0.3">
      <c r="A321" t="s">
        <v>33</v>
      </c>
      <c r="B321">
        <v>2021</v>
      </c>
      <c r="C321" t="s">
        <v>46</v>
      </c>
      <c r="D321" s="4">
        <v>151.6</v>
      </c>
      <c r="E321" s="4">
        <v>202.2</v>
      </c>
      <c r="F321" s="4">
        <v>180</v>
      </c>
      <c r="G321" s="4">
        <v>160</v>
      </c>
      <c r="H321" s="4">
        <v>173.5</v>
      </c>
      <c r="I321" s="4">
        <v>158.30000000000001</v>
      </c>
      <c r="J321" s="4">
        <v>219.5</v>
      </c>
      <c r="K321" s="4">
        <v>164.2</v>
      </c>
      <c r="L321" s="4">
        <v>121.9</v>
      </c>
      <c r="M321" s="4">
        <v>168.2</v>
      </c>
      <c r="N321" s="4">
        <v>156.5</v>
      </c>
      <c r="O321" s="4">
        <v>178.2</v>
      </c>
      <c r="P321" s="4">
        <v>172.2</v>
      </c>
      <c r="Q321" s="4">
        <v>196.8</v>
      </c>
      <c r="R321" s="4">
        <v>163.30000000000001</v>
      </c>
      <c r="S321" s="4">
        <v>146.69999999999999</v>
      </c>
      <c r="T321" s="4">
        <v>160.69999999999999</v>
      </c>
      <c r="U321" s="4">
        <v>163.4</v>
      </c>
      <c r="V321" s="4">
        <v>161.69999999999999</v>
      </c>
      <c r="W321" s="4">
        <v>156</v>
      </c>
      <c r="X321" s="4">
        <v>165.1</v>
      </c>
      <c r="Y321" s="4">
        <v>151.80000000000001</v>
      </c>
      <c r="Z321" s="4">
        <v>157.6</v>
      </c>
      <c r="AA321" s="4">
        <v>160.6</v>
      </c>
      <c r="AB321" s="4">
        <v>162.4</v>
      </c>
      <c r="AC321" s="4">
        <v>157.80000000000001</v>
      </c>
      <c r="AD321" s="4">
        <v>165.2</v>
      </c>
    </row>
    <row r="322" spans="1:30" x14ac:dyDescent="0.3">
      <c r="A322" t="s">
        <v>34</v>
      </c>
      <c r="B322">
        <v>2021</v>
      </c>
      <c r="C322" t="s">
        <v>46</v>
      </c>
      <c r="D322" s="4">
        <v>148.69999999999999</v>
      </c>
      <c r="E322" s="4">
        <v>198.8</v>
      </c>
      <c r="F322" s="4">
        <v>177.9</v>
      </c>
      <c r="G322" s="4">
        <v>159.9</v>
      </c>
      <c r="H322" s="4">
        <v>187.6</v>
      </c>
      <c r="I322" s="4">
        <v>154.9</v>
      </c>
      <c r="J322" s="4">
        <v>188.3</v>
      </c>
      <c r="K322" s="4">
        <v>164.4</v>
      </c>
      <c r="L322" s="4">
        <v>121</v>
      </c>
      <c r="M322" s="4">
        <v>170.5</v>
      </c>
      <c r="N322" s="4">
        <v>164.2</v>
      </c>
      <c r="O322" s="4">
        <v>176.5</v>
      </c>
      <c r="P322" s="4">
        <v>168.2</v>
      </c>
      <c r="Q322" s="4">
        <v>192.4</v>
      </c>
      <c r="R322" s="4">
        <v>168.5</v>
      </c>
      <c r="S322" s="4">
        <v>158.69999999999999</v>
      </c>
      <c r="T322" s="4">
        <v>167</v>
      </c>
      <c r="U322" s="4">
        <v>163.4</v>
      </c>
      <c r="V322" s="4">
        <v>164.1</v>
      </c>
      <c r="W322" s="4">
        <v>160.19999999999999</v>
      </c>
      <c r="X322" s="4">
        <v>170.6</v>
      </c>
      <c r="Y322" s="4">
        <v>155.69999999999999</v>
      </c>
      <c r="Z322" s="4">
        <v>160.6</v>
      </c>
      <c r="AA322" s="4">
        <v>164.4</v>
      </c>
      <c r="AB322" s="4">
        <v>162.6</v>
      </c>
      <c r="AC322" s="4">
        <v>162</v>
      </c>
      <c r="AD322" s="4">
        <v>166.2</v>
      </c>
    </row>
    <row r="323" spans="1:30" hidden="1" x14ac:dyDescent="0.3">
      <c r="A323" t="s">
        <v>30</v>
      </c>
      <c r="B323">
        <v>2022</v>
      </c>
      <c r="C323" t="s">
        <v>31</v>
      </c>
      <c r="D323" s="4">
        <v>148.30000000000001</v>
      </c>
      <c r="E323" s="4">
        <v>196.9</v>
      </c>
      <c r="F323" s="4">
        <v>178</v>
      </c>
      <c r="G323" s="4">
        <v>160.5</v>
      </c>
      <c r="H323" s="4">
        <v>192.6</v>
      </c>
      <c r="I323" s="4">
        <v>151.19999999999999</v>
      </c>
      <c r="J323" s="4">
        <v>159.19999999999999</v>
      </c>
      <c r="K323" s="4">
        <v>164</v>
      </c>
      <c r="L323" s="4">
        <v>119.3</v>
      </c>
      <c r="M323" s="4">
        <v>173.3</v>
      </c>
      <c r="N323" s="4">
        <v>169.8</v>
      </c>
      <c r="O323" s="4">
        <v>175.8</v>
      </c>
      <c r="P323" s="4">
        <v>164.1</v>
      </c>
      <c r="Q323" s="4">
        <v>190.7</v>
      </c>
      <c r="R323" s="4">
        <v>173.2</v>
      </c>
      <c r="S323" s="4">
        <v>169.3</v>
      </c>
      <c r="T323" s="4">
        <v>172.7</v>
      </c>
      <c r="U323" s="4">
        <v>164.5</v>
      </c>
      <c r="V323" s="4">
        <v>165.8</v>
      </c>
      <c r="W323" s="4">
        <v>164.9</v>
      </c>
      <c r="X323" s="4">
        <v>174.7</v>
      </c>
      <c r="Y323" s="4">
        <v>160.80000000000001</v>
      </c>
      <c r="Z323" s="4">
        <v>164.9</v>
      </c>
      <c r="AA323" s="4">
        <v>169.9</v>
      </c>
      <c r="AB323" s="4">
        <v>163.19999999999999</v>
      </c>
      <c r="AC323" s="4">
        <v>166.6</v>
      </c>
      <c r="AD323" s="4">
        <v>166.4</v>
      </c>
    </row>
    <row r="324" spans="1:30" hidden="1" x14ac:dyDescent="0.3">
      <c r="A324" t="s">
        <v>33</v>
      </c>
      <c r="B324">
        <v>2022</v>
      </c>
      <c r="C324" t="s">
        <v>31</v>
      </c>
      <c r="D324" s="4">
        <v>152.19999999999999</v>
      </c>
      <c r="E324" s="4">
        <v>202.1</v>
      </c>
      <c r="F324" s="4">
        <v>180.1</v>
      </c>
      <c r="G324" s="4">
        <v>160.4</v>
      </c>
      <c r="H324" s="4">
        <v>171</v>
      </c>
      <c r="I324" s="4">
        <v>156.5</v>
      </c>
      <c r="J324" s="4">
        <v>203.6</v>
      </c>
      <c r="K324" s="4">
        <v>163.80000000000001</v>
      </c>
      <c r="L324" s="4">
        <v>121.3</v>
      </c>
      <c r="M324" s="4">
        <v>169.8</v>
      </c>
      <c r="N324" s="4">
        <v>156.6</v>
      </c>
      <c r="O324" s="4">
        <v>179</v>
      </c>
      <c r="P324" s="4">
        <v>170.3</v>
      </c>
      <c r="Q324" s="4">
        <v>196.4</v>
      </c>
      <c r="R324" s="4">
        <v>164.7</v>
      </c>
      <c r="S324" s="4">
        <v>148.5</v>
      </c>
      <c r="T324" s="4">
        <v>162.19999999999999</v>
      </c>
      <c r="U324" s="4">
        <v>164.5</v>
      </c>
      <c r="V324" s="4">
        <v>161.6</v>
      </c>
      <c r="W324" s="4">
        <v>156.80000000000001</v>
      </c>
      <c r="X324" s="4">
        <v>166.1</v>
      </c>
      <c r="Y324" s="4">
        <v>152.69999999999999</v>
      </c>
      <c r="Z324" s="4">
        <v>158.4</v>
      </c>
      <c r="AA324" s="4">
        <v>161</v>
      </c>
      <c r="AB324" s="4">
        <v>162.80000000000001</v>
      </c>
      <c r="AC324" s="4">
        <v>158.6</v>
      </c>
      <c r="AD324" s="4">
        <v>165</v>
      </c>
    </row>
    <row r="325" spans="1:30" x14ac:dyDescent="0.3">
      <c r="A325" t="s">
        <v>34</v>
      </c>
      <c r="B325">
        <v>2022</v>
      </c>
      <c r="C325" t="s">
        <v>31</v>
      </c>
      <c r="D325" s="4">
        <v>149.5</v>
      </c>
      <c r="E325" s="4">
        <v>198.7</v>
      </c>
      <c r="F325" s="4">
        <v>178.8</v>
      </c>
      <c r="G325" s="4">
        <v>160.5</v>
      </c>
      <c r="H325" s="4">
        <v>184.7</v>
      </c>
      <c r="I325" s="4">
        <v>153.69999999999999</v>
      </c>
      <c r="J325" s="4">
        <v>174.3</v>
      </c>
      <c r="K325" s="4">
        <v>163.9</v>
      </c>
      <c r="L325" s="4">
        <v>120</v>
      </c>
      <c r="M325" s="4">
        <v>172.1</v>
      </c>
      <c r="N325" s="4">
        <v>164.3</v>
      </c>
      <c r="O325" s="4">
        <v>177.3</v>
      </c>
      <c r="P325" s="4">
        <v>166.4</v>
      </c>
      <c r="Q325" s="4">
        <v>192.2</v>
      </c>
      <c r="R325" s="4">
        <v>169.9</v>
      </c>
      <c r="S325" s="4">
        <v>160.69999999999999</v>
      </c>
      <c r="T325" s="4">
        <v>168.5</v>
      </c>
      <c r="U325" s="4">
        <v>164.5</v>
      </c>
      <c r="V325" s="4">
        <v>164.2</v>
      </c>
      <c r="W325" s="4">
        <v>161.1</v>
      </c>
      <c r="X325" s="4">
        <v>171.4</v>
      </c>
      <c r="Y325" s="4">
        <v>156.5</v>
      </c>
      <c r="Z325" s="4">
        <v>161.19999999999999</v>
      </c>
      <c r="AA325" s="4">
        <v>164.7</v>
      </c>
      <c r="AB325" s="4">
        <v>163</v>
      </c>
      <c r="AC325" s="4">
        <v>162.69999999999999</v>
      </c>
      <c r="AD325" s="4">
        <v>165.7</v>
      </c>
    </row>
    <row r="326" spans="1:30" hidden="1" x14ac:dyDescent="0.3">
      <c r="A326" t="s">
        <v>30</v>
      </c>
      <c r="B326">
        <v>2022</v>
      </c>
      <c r="C326" t="s">
        <v>35</v>
      </c>
      <c r="D326" s="4">
        <v>148.80000000000001</v>
      </c>
      <c r="E326" s="4">
        <v>198.1</v>
      </c>
      <c r="F326" s="4">
        <v>175.5</v>
      </c>
      <c r="G326" s="4">
        <v>160.69999999999999</v>
      </c>
      <c r="H326" s="4">
        <v>192.6</v>
      </c>
      <c r="I326" s="4">
        <v>151.4</v>
      </c>
      <c r="J326" s="4">
        <v>155.19999999999999</v>
      </c>
      <c r="K326" s="4">
        <v>163.9</v>
      </c>
      <c r="L326" s="4">
        <v>118.1</v>
      </c>
      <c r="M326" s="4">
        <v>175.4</v>
      </c>
      <c r="N326" s="4">
        <v>170.5</v>
      </c>
      <c r="O326" s="4">
        <v>176.3</v>
      </c>
      <c r="P326" s="4">
        <v>163.9</v>
      </c>
      <c r="Q326" s="4">
        <v>191.5</v>
      </c>
      <c r="R326" s="4">
        <v>174.1</v>
      </c>
      <c r="S326" s="4">
        <v>171</v>
      </c>
      <c r="T326" s="4">
        <v>173.7</v>
      </c>
      <c r="U326" s="4">
        <v>165.5</v>
      </c>
      <c r="V326" s="4">
        <v>167.4</v>
      </c>
      <c r="W326" s="4">
        <v>165.7</v>
      </c>
      <c r="X326" s="4">
        <v>175.3</v>
      </c>
      <c r="Y326" s="4">
        <v>161.19999999999999</v>
      </c>
      <c r="Z326" s="4">
        <v>165.5</v>
      </c>
      <c r="AA326" s="4">
        <v>170.3</v>
      </c>
      <c r="AB326" s="4">
        <v>164.5</v>
      </c>
      <c r="AC326" s="4">
        <v>167.3</v>
      </c>
      <c r="AD326" s="4">
        <v>166.7</v>
      </c>
    </row>
    <row r="327" spans="1:30" hidden="1" x14ac:dyDescent="0.3">
      <c r="A327" t="s">
        <v>33</v>
      </c>
      <c r="B327">
        <v>2022</v>
      </c>
      <c r="C327" t="s">
        <v>35</v>
      </c>
      <c r="D327" s="4">
        <v>152.5</v>
      </c>
      <c r="E327" s="4">
        <v>205.2</v>
      </c>
      <c r="F327" s="4">
        <v>176.4</v>
      </c>
      <c r="G327" s="4">
        <v>160.6</v>
      </c>
      <c r="H327" s="4">
        <v>171.5</v>
      </c>
      <c r="I327" s="4">
        <v>156.4</v>
      </c>
      <c r="J327" s="4">
        <v>198</v>
      </c>
      <c r="K327" s="4">
        <v>163.19999999999999</v>
      </c>
      <c r="L327" s="4">
        <v>120.6</v>
      </c>
      <c r="M327" s="4">
        <v>172.2</v>
      </c>
      <c r="N327" s="4">
        <v>156.69999999999999</v>
      </c>
      <c r="O327" s="4">
        <v>180</v>
      </c>
      <c r="P327" s="4">
        <v>170.2</v>
      </c>
      <c r="Q327" s="4">
        <v>196.5</v>
      </c>
      <c r="R327" s="4">
        <v>165.7</v>
      </c>
      <c r="S327" s="4">
        <v>150.4</v>
      </c>
      <c r="T327" s="4">
        <v>163.4</v>
      </c>
      <c r="U327" s="4">
        <v>165.5</v>
      </c>
      <c r="V327" s="4">
        <v>163</v>
      </c>
      <c r="W327" s="4">
        <v>157.4</v>
      </c>
      <c r="X327" s="4">
        <v>167.2</v>
      </c>
      <c r="Y327" s="4">
        <v>153.1</v>
      </c>
      <c r="Z327" s="4">
        <v>159.5</v>
      </c>
      <c r="AA327" s="4">
        <v>162</v>
      </c>
      <c r="AB327" s="4">
        <v>164.2</v>
      </c>
      <c r="AC327" s="4">
        <v>159.4</v>
      </c>
      <c r="AD327" s="4">
        <v>165.5</v>
      </c>
    </row>
    <row r="328" spans="1:30" x14ac:dyDescent="0.3">
      <c r="A328" t="s">
        <v>34</v>
      </c>
      <c r="B328">
        <v>2022</v>
      </c>
      <c r="C328" t="s">
        <v>35</v>
      </c>
      <c r="D328" s="4">
        <v>150</v>
      </c>
      <c r="E328" s="4">
        <v>200.6</v>
      </c>
      <c r="F328" s="4">
        <v>175.8</v>
      </c>
      <c r="G328" s="4">
        <v>160.69999999999999</v>
      </c>
      <c r="H328" s="4">
        <v>184.9</v>
      </c>
      <c r="I328" s="4">
        <v>153.69999999999999</v>
      </c>
      <c r="J328" s="4">
        <v>169.7</v>
      </c>
      <c r="K328" s="4">
        <v>163.69999999999999</v>
      </c>
      <c r="L328" s="4">
        <v>118.9</v>
      </c>
      <c r="M328" s="4">
        <v>174.3</v>
      </c>
      <c r="N328" s="4">
        <v>164.7</v>
      </c>
      <c r="O328" s="4">
        <v>178</v>
      </c>
      <c r="P328" s="4">
        <v>166.2</v>
      </c>
      <c r="Q328" s="4">
        <v>192.8</v>
      </c>
      <c r="R328" s="4">
        <v>170.8</v>
      </c>
      <c r="S328" s="4">
        <v>162.4</v>
      </c>
      <c r="T328" s="4">
        <v>169.6</v>
      </c>
      <c r="U328" s="4">
        <v>165.5</v>
      </c>
      <c r="V328" s="4">
        <v>165.7</v>
      </c>
      <c r="W328" s="4">
        <v>161.80000000000001</v>
      </c>
      <c r="X328" s="4">
        <v>172.2</v>
      </c>
      <c r="Y328" s="4">
        <v>156.9</v>
      </c>
      <c r="Z328" s="4">
        <v>162.1</v>
      </c>
      <c r="AA328" s="4">
        <v>165.4</v>
      </c>
      <c r="AB328" s="4">
        <v>164.4</v>
      </c>
      <c r="AC328" s="4">
        <v>163.5</v>
      </c>
      <c r="AD328" s="4">
        <v>166.1</v>
      </c>
    </row>
    <row r="329" spans="1:30" hidden="1" x14ac:dyDescent="0.3">
      <c r="A329" t="s">
        <v>30</v>
      </c>
      <c r="B329">
        <v>2022</v>
      </c>
      <c r="C329" t="s">
        <v>36</v>
      </c>
      <c r="D329" s="4">
        <v>150.19999999999999</v>
      </c>
      <c r="E329" s="4">
        <v>208</v>
      </c>
      <c r="F329" s="4">
        <v>167.9</v>
      </c>
      <c r="G329" s="4">
        <v>162</v>
      </c>
      <c r="H329" s="4">
        <v>203.1</v>
      </c>
      <c r="I329" s="4">
        <v>155.9</v>
      </c>
      <c r="J329" s="4">
        <v>155.80000000000001</v>
      </c>
      <c r="K329" s="4">
        <v>164.2</v>
      </c>
      <c r="L329" s="4">
        <v>118.1</v>
      </c>
      <c r="M329" s="4">
        <v>178.7</v>
      </c>
      <c r="N329" s="4">
        <v>171.2</v>
      </c>
      <c r="O329" s="4">
        <v>177.4</v>
      </c>
      <c r="P329" s="4">
        <v>166.6</v>
      </c>
      <c r="Q329" s="4">
        <v>192.3</v>
      </c>
      <c r="R329" s="4">
        <v>175.4</v>
      </c>
      <c r="S329" s="4">
        <v>173.2</v>
      </c>
      <c r="T329" s="4">
        <v>175.1</v>
      </c>
      <c r="U329" s="4">
        <v>165.3</v>
      </c>
      <c r="V329" s="4">
        <v>168.9</v>
      </c>
      <c r="W329" s="4">
        <v>166.5</v>
      </c>
      <c r="X329" s="4">
        <v>176</v>
      </c>
      <c r="Y329" s="4">
        <v>162</v>
      </c>
      <c r="Z329" s="4">
        <v>166.6</v>
      </c>
      <c r="AA329" s="4">
        <v>170.6</v>
      </c>
      <c r="AB329" s="4">
        <v>167.4</v>
      </c>
      <c r="AC329" s="4">
        <v>168.3</v>
      </c>
      <c r="AD329" s="4">
        <v>168.7</v>
      </c>
    </row>
    <row r="330" spans="1:30" hidden="1" x14ac:dyDescent="0.3">
      <c r="A330" t="s">
        <v>33</v>
      </c>
      <c r="B330">
        <v>2022</v>
      </c>
      <c r="C330" t="s">
        <v>36</v>
      </c>
      <c r="D330" s="4">
        <v>153.69999999999999</v>
      </c>
      <c r="E330" s="4">
        <v>215.8</v>
      </c>
      <c r="F330" s="4">
        <v>167.7</v>
      </c>
      <c r="G330" s="4">
        <v>162.6</v>
      </c>
      <c r="H330" s="4">
        <v>180</v>
      </c>
      <c r="I330" s="4">
        <v>159.6</v>
      </c>
      <c r="J330" s="4">
        <v>188.4</v>
      </c>
      <c r="K330" s="4">
        <v>163.4</v>
      </c>
      <c r="L330" s="4">
        <v>120.3</v>
      </c>
      <c r="M330" s="4">
        <v>174.7</v>
      </c>
      <c r="N330" s="4">
        <v>157.1</v>
      </c>
      <c r="O330" s="4">
        <v>181.5</v>
      </c>
      <c r="P330" s="4">
        <v>171.5</v>
      </c>
      <c r="Q330" s="4">
        <v>197.5</v>
      </c>
      <c r="R330" s="4">
        <v>167.1</v>
      </c>
      <c r="S330" s="4">
        <v>152.6</v>
      </c>
      <c r="T330" s="4">
        <v>164.9</v>
      </c>
      <c r="U330" s="4">
        <v>165.3</v>
      </c>
      <c r="V330" s="4">
        <v>164.5</v>
      </c>
      <c r="W330" s="4">
        <v>158.6</v>
      </c>
      <c r="X330" s="4">
        <v>168.2</v>
      </c>
      <c r="Y330" s="4">
        <v>154.19999999999999</v>
      </c>
      <c r="Z330" s="4">
        <v>160.80000000000001</v>
      </c>
      <c r="AA330" s="4">
        <v>162.69999999999999</v>
      </c>
      <c r="AB330" s="4">
        <v>166.8</v>
      </c>
      <c r="AC330" s="4">
        <v>160.6</v>
      </c>
      <c r="AD330" s="4">
        <v>166.5</v>
      </c>
    </row>
    <row r="331" spans="1:30" x14ac:dyDescent="0.3">
      <c r="A331" t="s">
        <v>34</v>
      </c>
      <c r="B331">
        <v>2022</v>
      </c>
      <c r="C331" t="s">
        <v>36</v>
      </c>
      <c r="D331" s="4">
        <v>151.30000000000001</v>
      </c>
      <c r="E331" s="4">
        <v>210.7</v>
      </c>
      <c r="F331" s="4">
        <v>167.8</v>
      </c>
      <c r="G331" s="4">
        <v>162.19999999999999</v>
      </c>
      <c r="H331" s="4">
        <v>194.6</v>
      </c>
      <c r="I331" s="4">
        <v>157.6</v>
      </c>
      <c r="J331" s="4">
        <v>166.9</v>
      </c>
      <c r="K331" s="4">
        <v>163.9</v>
      </c>
      <c r="L331" s="4">
        <v>118.8</v>
      </c>
      <c r="M331" s="4">
        <v>177.4</v>
      </c>
      <c r="N331" s="4">
        <v>165.3</v>
      </c>
      <c r="O331" s="4">
        <v>179.3</v>
      </c>
      <c r="P331" s="4">
        <v>168.4</v>
      </c>
      <c r="Q331" s="4">
        <v>193.7</v>
      </c>
      <c r="R331" s="4">
        <v>172.1</v>
      </c>
      <c r="S331" s="4">
        <v>164.6</v>
      </c>
      <c r="T331" s="4">
        <v>171.1</v>
      </c>
      <c r="U331" s="4">
        <v>165.3</v>
      </c>
      <c r="V331" s="4">
        <v>167.2</v>
      </c>
      <c r="W331" s="4">
        <v>162.80000000000001</v>
      </c>
      <c r="X331" s="4">
        <v>173</v>
      </c>
      <c r="Y331" s="4">
        <v>157.9</v>
      </c>
      <c r="Z331" s="4">
        <v>163.30000000000001</v>
      </c>
      <c r="AA331" s="4">
        <v>166</v>
      </c>
      <c r="AB331" s="4">
        <v>167.2</v>
      </c>
      <c r="AC331" s="4">
        <v>164.6</v>
      </c>
      <c r="AD331" s="4">
        <v>167.7</v>
      </c>
    </row>
    <row r="332" spans="1:30" hidden="1" x14ac:dyDescent="0.3">
      <c r="A332" t="s">
        <v>30</v>
      </c>
      <c r="B332">
        <v>2022</v>
      </c>
      <c r="C332" t="s">
        <v>37</v>
      </c>
      <c r="D332" s="4">
        <v>151.80000000000001</v>
      </c>
      <c r="E332" s="4">
        <v>209.7</v>
      </c>
      <c r="F332" s="4">
        <v>164.5</v>
      </c>
      <c r="G332" s="4">
        <v>163.80000000000001</v>
      </c>
      <c r="H332" s="4">
        <v>207.4</v>
      </c>
      <c r="I332" s="4">
        <v>169.7</v>
      </c>
      <c r="J332" s="4">
        <v>153.6</v>
      </c>
      <c r="K332" s="4">
        <v>165.1</v>
      </c>
      <c r="L332" s="4">
        <v>118.2</v>
      </c>
      <c r="M332" s="4">
        <v>182.9</v>
      </c>
      <c r="N332" s="4">
        <v>172.4</v>
      </c>
      <c r="O332" s="4">
        <v>178.9</v>
      </c>
      <c r="P332" s="4">
        <v>168.6</v>
      </c>
      <c r="Q332" s="4">
        <v>192.8</v>
      </c>
      <c r="R332" s="4">
        <v>177.5</v>
      </c>
      <c r="S332" s="4">
        <v>175.1</v>
      </c>
      <c r="T332" s="4">
        <v>177.1</v>
      </c>
      <c r="U332" s="4">
        <v>167</v>
      </c>
      <c r="V332" s="4">
        <v>173.3</v>
      </c>
      <c r="W332" s="4">
        <v>167.7</v>
      </c>
      <c r="X332" s="4">
        <v>177</v>
      </c>
      <c r="Y332" s="4">
        <v>166.2</v>
      </c>
      <c r="Z332" s="4">
        <v>167.2</v>
      </c>
      <c r="AA332" s="4">
        <v>170.9</v>
      </c>
      <c r="AB332" s="4">
        <v>169</v>
      </c>
      <c r="AC332" s="4">
        <v>170.2</v>
      </c>
      <c r="AD332" s="4">
        <v>170.8</v>
      </c>
    </row>
    <row r="333" spans="1:30" hidden="1" x14ac:dyDescent="0.3">
      <c r="A333" t="s">
        <v>33</v>
      </c>
      <c r="B333">
        <v>2022</v>
      </c>
      <c r="C333" t="s">
        <v>37</v>
      </c>
      <c r="D333" s="4">
        <v>155.4</v>
      </c>
      <c r="E333" s="4">
        <v>215.8</v>
      </c>
      <c r="F333" s="4">
        <v>164.6</v>
      </c>
      <c r="G333" s="4">
        <v>164.2</v>
      </c>
      <c r="H333" s="4">
        <v>186</v>
      </c>
      <c r="I333" s="4">
        <v>175.9</v>
      </c>
      <c r="J333" s="4">
        <v>190.7</v>
      </c>
      <c r="K333" s="4">
        <v>164</v>
      </c>
      <c r="L333" s="4">
        <v>120.5</v>
      </c>
      <c r="M333" s="4">
        <v>178</v>
      </c>
      <c r="N333" s="4">
        <v>157.5</v>
      </c>
      <c r="O333" s="4">
        <v>183.3</v>
      </c>
      <c r="P333" s="4">
        <v>174.5</v>
      </c>
      <c r="Q333" s="4">
        <v>197.1</v>
      </c>
      <c r="R333" s="4">
        <v>168.4</v>
      </c>
      <c r="S333" s="4">
        <v>154.5</v>
      </c>
      <c r="T333" s="4">
        <v>166.3</v>
      </c>
      <c r="U333" s="4">
        <v>167</v>
      </c>
      <c r="V333" s="4">
        <v>170.5</v>
      </c>
      <c r="W333" s="4">
        <v>159.80000000000001</v>
      </c>
      <c r="X333" s="4">
        <v>169</v>
      </c>
      <c r="Y333" s="4">
        <v>159.30000000000001</v>
      </c>
      <c r="Z333" s="4">
        <v>162.19999999999999</v>
      </c>
      <c r="AA333" s="4">
        <v>164</v>
      </c>
      <c r="AB333" s="4">
        <v>168.4</v>
      </c>
      <c r="AC333" s="4">
        <v>163.1</v>
      </c>
      <c r="AD333" s="4">
        <v>169.2</v>
      </c>
    </row>
    <row r="334" spans="1:30" x14ac:dyDescent="0.3">
      <c r="A334" t="s">
        <v>34</v>
      </c>
      <c r="B334">
        <v>2022</v>
      </c>
      <c r="C334" t="s">
        <v>37</v>
      </c>
      <c r="D334" s="4">
        <v>152.9</v>
      </c>
      <c r="E334" s="4">
        <v>211.8</v>
      </c>
      <c r="F334" s="4">
        <v>164.5</v>
      </c>
      <c r="G334" s="4">
        <v>163.9</v>
      </c>
      <c r="H334" s="4">
        <v>199.5</v>
      </c>
      <c r="I334" s="4">
        <v>172.6</v>
      </c>
      <c r="J334" s="4">
        <v>166.2</v>
      </c>
      <c r="K334" s="4">
        <v>164.7</v>
      </c>
      <c r="L334" s="4">
        <v>119</v>
      </c>
      <c r="M334" s="4">
        <v>181.3</v>
      </c>
      <c r="N334" s="4">
        <v>166.2</v>
      </c>
      <c r="O334" s="4">
        <v>180.9</v>
      </c>
      <c r="P334" s="4">
        <v>170.8</v>
      </c>
      <c r="Q334" s="4">
        <v>193.9</v>
      </c>
      <c r="R334" s="4">
        <v>173.9</v>
      </c>
      <c r="S334" s="4">
        <v>166.5</v>
      </c>
      <c r="T334" s="4">
        <v>172.8</v>
      </c>
      <c r="U334" s="4">
        <v>167</v>
      </c>
      <c r="V334" s="4">
        <v>172.2</v>
      </c>
      <c r="W334" s="4">
        <v>164</v>
      </c>
      <c r="X334" s="4">
        <v>174</v>
      </c>
      <c r="Y334" s="4">
        <v>162.6</v>
      </c>
      <c r="Z334" s="4">
        <v>164.4</v>
      </c>
      <c r="AA334" s="4">
        <v>166.9</v>
      </c>
      <c r="AB334" s="4">
        <v>168.8</v>
      </c>
      <c r="AC334" s="4">
        <v>166.8</v>
      </c>
      <c r="AD334" s="4">
        <v>170.1</v>
      </c>
    </row>
    <row r="335" spans="1:30" hidden="1" x14ac:dyDescent="0.3">
      <c r="A335" t="s">
        <v>30</v>
      </c>
      <c r="B335">
        <v>2022</v>
      </c>
      <c r="C335" t="s">
        <v>38</v>
      </c>
      <c r="D335" s="4">
        <v>152.9</v>
      </c>
      <c r="E335" s="4">
        <v>214.7</v>
      </c>
      <c r="F335" s="4">
        <v>161.4</v>
      </c>
      <c r="G335" s="4">
        <v>164.6</v>
      </c>
      <c r="H335" s="4">
        <v>209.9</v>
      </c>
      <c r="I335" s="4">
        <v>168</v>
      </c>
      <c r="J335" s="4">
        <v>160.4</v>
      </c>
      <c r="K335" s="4">
        <v>165</v>
      </c>
      <c r="L335" s="4">
        <v>118.9</v>
      </c>
      <c r="M335" s="4">
        <v>186.6</v>
      </c>
      <c r="N335" s="4">
        <v>173.2</v>
      </c>
      <c r="O335" s="4">
        <v>180.4</v>
      </c>
      <c r="P335" s="4">
        <v>170.8</v>
      </c>
      <c r="Q335" s="4">
        <v>192.9</v>
      </c>
      <c r="R335" s="4">
        <v>179.3</v>
      </c>
      <c r="S335" s="4">
        <v>177.2</v>
      </c>
      <c r="T335" s="4">
        <v>179</v>
      </c>
      <c r="U335" s="4">
        <v>167.5</v>
      </c>
      <c r="V335" s="4">
        <v>175.3</v>
      </c>
      <c r="W335" s="4">
        <v>168.9</v>
      </c>
      <c r="X335" s="4">
        <v>177.7</v>
      </c>
      <c r="Y335" s="4">
        <v>167.1</v>
      </c>
      <c r="Z335" s="4">
        <v>167.6</v>
      </c>
      <c r="AA335" s="4">
        <v>171.8</v>
      </c>
      <c r="AB335" s="4">
        <v>168.5</v>
      </c>
      <c r="AC335" s="4">
        <v>170.9</v>
      </c>
      <c r="AD335" s="4">
        <v>172.5</v>
      </c>
    </row>
    <row r="336" spans="1:30" hidden="1" x14ac:dyDescent="0.3">
      <c r="A336" t="s">
        <v>33</v>
      </c>
      <c r="B336">
        <v>2022</v>
      </c>
      <c r="C336" t="s">
        <v>38</v>
      </c>
      <c r="D336" s="4">
        <v>156.69999999999999</v>
      </c>
      <c r="E336" s="4">
        <v>221.2</v>
      </c>
      <c r="F336" s="4">
        <v>164.1</v>
      </c>
      <c r="G336" s="4">
        <v>165.4</v>
      </c>
      <c r="H336" s="4">
        <v>189.5</v>
      </c>
      <c r="I336" s="4">
        <v>174.5</v>
      </c>
      <c r="J336" s="4">
        <v>203.2</v>
      </c>
      <c r="K336" s="4">
        <v>164.1</v>
      </c>
      <c r="L336" s="4">
        <v>121.2</v>
      </c>
      <c r="M336" s="4">
        <v>181.4</v>
      </c>
      <c r="N336" s="4">
        <v>158.5</v>
      </c>
      <c r="O336" s="4">
        <v>184.9</v>
      </c>
      <c r="P336" s="4">
        <v>177.5</v>
      </c>
      <c r="Q336" s="4">
        <v>197.5</v>
      </c>
      <c r="R336" s="4">
        <v>170</v>
      </c>
      <c r="S336" s="4">
        <v>155.9</v>
      </c>
      <c r="T336" s="4">
        <v>167.8</v>
      </c>
      <c r="U336" s="4">
        <v>167.5</v>
      </c>
      <c r="V336" s="4">
        <v>173.5</v>
      </c>
      <c r="W336" s="4">
        <v>161.1</v>
      </c>
      <c r="X336" s="4">
        <v>170.1</v>
      </c>
      <c r="Y336" s="4">
        <v>159.4</v>
      </c>
      <c r="Z336" s="4">
        <v>163.19999999999999</v>
      </c>
      <c r="AA336" s="4">
        <v>165.2</v>
      </c>
      <c r="AB336" s="4">
        <v>168.2</v>
      </c>
      <c r="AC336" s="4">
        <v>163.80000000000001</v>
      </c>
      <c r="AD336" s="4">
        <v>170.8</v>
      </c>
    </row>
    <row r="337" spans="1:30" x14ac:dyDescent="0.3">
      <c r="A337" t="s">
        <v>34</v>
      </c>
      <c r="B337">
        <v>2022</v>
      </c>
      <c r="C337" t="s">
        <v>38</v>
      </c>
      <c r="D337" s="4">
        <v>154.1</v>
      </c>
      <c r="E337" s="4">
        <v>217</v>
      </c>
      <c r="F337" s="4">
        <v>162.4</v>
      </c>
      <c r="G337" s="4">
        <v>164.9</v>
      </c>
      <c r="H337" s="4">
        <v>202.4</v>
      </c>
      <c r="I337" s="4">
        <v>171</v>
      </c>
      <c r="J337" s="4">
        <v>174.9</v>
      </c>
      <c r="K337" s="4">
        <v>164.7</v>
      </c>
      <c r="L337" s="4">
        <v>119.7</v>
      </c>
      <c r="M337" s="4">
        <v>184.9</v>
      </c>
      <c r="N337" s="4">
        <v>167.1</v>
      </c>
      <c r="O337" s="4">
        <v>182.5</v>
      </c>
      <c r="P337" s="4">
        <v>173.3</v>
      </c>
      <c r="Q337" s="4">
        <v>194.1</v>
      </c>
      <c r="R337" s="4">
        <v>175.6</v>
      </c>
      <c r="S337" s="4">
        <v>168.4</v>
      </c>
      <c r="T337" s="4">
        <v>174.6</v>
      </c>
      <c r="U337" s="4">
        <v>167.5</v>
      </c>
      <c r="V337" s="4">
        <v>174.6</v>
      </c>
      <c r="W337" s="4">
        <v>165.2</v>
      </c>
      <c r="X337" s="4">
        <v>174.8</v>
      </c>
      <c r="Y337" s="4">
        <v>163</v>
      </c>
      <c r="Z337" s="4">
        <v>165.1</v>
      </c>
      <c r="AA337" s="4">
        <v>167.9</v>
      </c>
      <c r="AB337" s="4">
        <v>168.4</v>
      </c>
      <c r="AC337" s="4">
        <v>167.5</v>
      </c>
      <c r="AD337" s="4">
        <v>171.7</v>
      </c>
    </row>
    <row r="338" spans="1:30" hidden="1" x14ac:dyDescent="0.3">
      <c r="A338" t="s">
        <v>30</v>
      </c>
      <c r="B338">
        <v>2022</v>
      </c>
      <c r="C338" t="s">
        <v>39</v>
      </c>
      <c r="D338" s="4">
        <v>153.80000000000001</v>
      </c>
      <c r="E338" s="4">
        <v>217.2</v>
      </c>
      <c r="F338" s="4">
        <v>169.6</v>
      </c>
      <c r="G338" s="4">
        <v>165.4</v>
      </c>
      <c r="H338" s="4">
        <v>208.1</v>
      </c>
      <c r="I338" s="4">
        <v>165.8</v>
      </c>
      <c r="J338" s="4">
        <v>167.3</v>
      </c>
      <c r="K338" s="4">
        <v>164.6</v>
      </c>
      <c r="L338" s="4">
        <v>119.1</v>
      </c>
      <c r="M338" s="4">
        <v>188.9</v>
      </c>
      <c r="N338" s="4">
        <v>174.2</v>
      </c>
      <c r="O338" s="4">
        <v>181.9</v>
      </c>
      <c r="P338" s="4">
        <v>172.4</v>
      </c>
      <c r="Q338" s="4">
        <v>192.9</v>
      </c>
      <c r="R338" s="4">
        <v>180.7</v>
      </c>
      <c r="S338" s="4">
        <v>178.7</v>
      </c>
      <c r="T338" s="4">
        <v>180.4</v>
      </c>
      <c r="U338" s="4">
        <v>166.8</v>
      </c>
      <c r="V338" s="4">
        <v>176.7</v>
      </c>
      <c r="W338" s="4">
        <v>170.3</v>
      </c>
      <c r="X338" s="4">
        <v>178.2</v>
      </c>
      <c r="Y338" s="4">
        <v>165.5</v>
      </c>
      <c r="Z338" s="4">
        <v>168</v>
      </c>
      <c r="AA338" s="4">
        <v>172.6</v>
      </c>
      <c r="AB338" s="4">
        <v>169.5</v>
      </c>
      <c r="AC338" s="4">
        <v>171</v>
      </c>
      <c r="AD338" s="4">
        <v>173.6</v>
      </c>
    </row>
    <row r="339" spans="1:30" hidden="1" x14ac:dyDescent="0.3">
      <c r="A339" t="s">
        <v>33</v>
      </c>
      <c r="B339">
        <v>2022</v>
      </c>
      <c r="C339" t="s">
        <v>39</v>
      </c>
      <c r="D339" s="4">
        <v>157.5</v>
      </c>
      <c r="E339" s="4">
        <v>223.4</v>
      </c>
      <c r="F339" s="4">
        <v>172.8</v>
      </c>
      <c r="G339" s="4">
        <v>166.4</v>
      </c>
      <c r="H339" s="4">
        <v>188.6</v>
      </c>
      <c r="I339" s="4">
        <v>174.1</v>
      </c>
      <c r="J339" s="4">
        <v>211.5</v>
      </c>
      <c r="K339" s="4">
        <v>163.6</v>
      </c>
      <c r="L339" s="4">
        <v>121.4</v>
      </c>
      <c r="M339" s="4">
        <v>183.5</v>
      </c>
      <c r="N339" s="4">
        <v>159.1</v>
      </c>
      <c r="O339" s="4">
        <v>186.3</v>
      </c>
      <c r="P339" s="4">
        <v>179.3</v>
      </c>
      <c r="Q339" s="4">
        <v>198.3</v>
      </c>
      <c r="R339" s="4">
        <v>171.6</v>
      </c>
      <c r="S339" s="4">
        <v>157.4</v>
      </c>
      <c r="T339" s="4">
        <v>169.4</v>
      </c>
      <c r="U339" s="4">
        <v>166.8</v>
      </c>
      <c r="V339" s="4">
        <v>174.9</v>
      </c>
      <c r="W339" s="4">
        <v>162.1</v>
      </c>
      <c r="X339" s="4">
        <v>170.9</v>
      </c>
      <c r="Y339" s="4">
        <v>157.19999999999999</v>
      </c>
      <c r="Z339" s="4">
        <v>164.1</v>
      </c>
      <c r="AA339" s="4">
        <v>166.5</v>
      </c>
      <c r="AB339" s="4">
        <v>169.2</v>
      </c>
      <c r="AC339" s="4">
        <v>163.80000000000001</v>
      </c>
      <c r="AD339" s="4">
        <v>171.4</v>
      </c>
    </row>
    <row r="340" spans="1:30" x14ac:dyDescent="0.3">
      <c r="A340" t="s">
        <v>34</v>
      </c>
      <c r="B340">
        <v>2022</v>
      </c>
      <c r="C340" t="s">
        <v>39</v>
      </c>
      <c r="D340" s="4">
        <v>155</v>
      </c>
      <c r="E340" s="4">
        <v>219.4</v>
      </c>
      <c r="F340" s="4">
        <v>170.8</v>
      </c>
      <c r="G340" s="4">
        <v>165.8</v>
      </c>
      <c r="H340" s="4">
        <v>200.9</v>
      </c>
      <c r="I340" s="4">
        <v>169.7</v>
      </c>
      <c r="J340" s="4">
        <v>182.3</v>
      </c>
      <c r="K340" s="4">
        <v>164.3</v>
      </c>
      <c r="L340" s="4">
        <v>119.9</v>
      </c>
      <c r="M340" s="4">
        <v>187.1</v>
      </c>
      <c r="N340" s="4">
        <v>167.9</v>
      </c>
      <c r="O340" s="4">
        <v>183.9</v>
      </c>
      <c r="P340" s="4">
        <v>174.9</v>
      </c>
      <c r="Q340" s="4">
        <v>194.3</v>
      </c>
      <c r="R340" s="4">
        <v>177.1</v>
      </c>
      <c r="S340" s="4">
        <v>169.9</v>
      </c>
      <c r="T340" s="4">
        <v>176</v>
      </c>
      <c r="U340" s="4">
        <v>166.8</v>
      </c>
      <c r="V340" s="4">
        <v>176</v>
      </c>
      <c r="W340" s="4">
        <v>166.4</v>
      </c>
      <c r="X340" s="4">
        <v>175.4</v>
      </c>
      <c r="Y340" s="4">
        <v>161.1</v>
      </c>
      <c r="Z340" s="4">
        <v>165.8</v>
      </c>
      <c r="AA340" s="4">
        <v>169</v>
      </c>
      <c r="AB340" s="4">
        <v>169.4</v>
      </c>
      <c r="AC340" s="4">
        <v>167.5</v>
      </c>
      <c r="AD340" s="4">
        <v>172.6</v>
      </c>
    </row>
    <row r="341" spans="1:30" hidden="1" x14ac:dyDescent="0.3">
      <c r="A341" t="s">
        <v>30</v>
      </c>
      <c r="B341">
        <v>2022</v>
      </c>
      <c r="C341" t="s">
        <v>40</v>
      </c>
      <c r="D341" s="4">
        <v>155.19999999999999</v>
      </c>
      <c r="E341" s="4">
        <v>210.8</v>
      </c>
      <c r="F341" s="4">
        <v>174.3</v>
      </c>
      <c r="G341" s="4">
        <v>166.3</v>
      </c>
      <c r="H341" s="4">
        <v>202.2</v>
      </c>
      <c r="I341" s="4">
        <v>169.6</v>
      </c>
      <c r="J341" s="4">
        <v>168.6</v>
      </c>
      <c r="K341" s="4">
        <v>164.4</v>
      </c>
      <c r="L341" s="4">
        <v>119.2</v>
      </c>
      <c r="M341" s="4">
        <v>191.8</v>
      </c>
      <c r="N341" s="4">
        <v>174.5</v>
      </c>
      <c r="O341" s="4">
        <v>183.1</v>
      </c>
      <c r="P341" s="4">
        <v>172.5</v>
      </c>
      <c r="Q341" s="4">
        <v>193.2</v>
      </c>
      <c r="R341" s="4">
        <v>182</v>
      </c>
      <c r="S341" s="4">
        <v>180.3</v>
      </c>
      <c r="T341" s="4">
        <v>181.7</v>
      </c>
      <c r="U341" s="4">
        <v>167.8</v>
      </c>
      <c r="V341" s="4">
        <v>179.6</v>
      </c>
      <c r="W341" s="4">
        <v>171.3</v>
      </c>
      <c r="X341" s="4">
        <v>178.8</v>
      </c>
      <c r="Y341" s="4">
        <v>166.3</v>
      </c>
      <c r="Z341" s="4">
        <v>168.6</v>
      </c>
      <c r="AA341" s="4">
        <v>174.7</v>
      </c>
      <c r="AB341" s="4">
        <v>169.7</v>
      </c>
      <c r="AC341" s="4">
        <v>171.8</v>
      </c>
      <c r="AD341" s="4">
        <v>174.3</v>
      </c>
    </row>
    <row r="342" spans="1:30" hidden="1" x14ac:dyDescent="0.3">
      <c r="A342" t="s">
        <v>33</v>
      </c>
      <c r="B342">
        <v>2022</v>
      </c>
      <c r="C342" t="s">
        <v>40</v>
      </c>
      <c r="D342" s="4">
        <v>159.30000000000001</v>
      </c>
      <c r="E342" s="4">
        <v>217.1</v>
      </c>
      <c r="F342" s="4">
        <v>176.6</v>
      </c>
      <c r="G342" s="4">
        <v>167.1</v>
      </c>
      <c r="H342" s="4">
        <v>184.8</v>
      </c>
      <c r="I342" s="4">
        <v>179.5</v>
      </c>
      <c r="J342" s="4">
        <v>208.5</v>
      </c>
      <c r="K342" s="4">
        <v>164</v>
      </c>
      <c r="L342" s="4">
        <v>121.5</v>
      </c>
      <c r="M342" s="4">
        <v>186.3</v>
      </c>
      <c r="N342" s="4">
        <v>159.80000000000001</v>
      </c>
      <c r="O342" s="4">
        <v>187.7</v>
      </c>
      <c r="P342" s="4">
        <v>179.4</v>
      </c>
      <c r="Q342" s="4">
        <v>198.6</v>
      </c>
      <c r="R342" s="4">
        <v>172.7</v>
      </c>
      <c r="S342" s="4">
        <v>158.69999999999999</v>
      </c>
      <c r="T342" s="4">
        <v>170.6</v>
      </c>
      <c r="U342" s="4">
        <v>167.8</v>
      </c>
      <c r="V342" s="4">
        <v>179.5</v>
      </c>
      <c r="W342" s="4">
        <v>163.1</v>
      </c>
      <c r="X342" s="4">
        <v>171.7</v>
      </c>
      <c r="Y342" s="4">
        <v>157.4</v>
      </c>
      <c r="Z342" s="4">
        <v>164.6</v>
      </c>
      <c r="AA342" s="4">
        <v>169.1</v>
      </c>
      <c r="AB342" s="4">
        <v>169.8</v>
      </c>
      <c r="AC342" s="4">
        <v>164.7</v>
      </c>
      <c r="AD342" s="4">
        <v>172.3</v>
      </c>
    </row>
    <row r="343" spans="1:30" x14ac:dyDescent="0.3">
      <c r="A343" t="s">
        <v>34</v>
      </c>
      <c r="B343">
        <v>2022</v>
      </c>
      <c r="C343" t="s">
        <v>40</v>
      </c>
      <c r="D343" s="4">
        <v>156.5</v>
      </c>
      <c r="E343" s="4">
        <v>213</v>
      </c>
      <c r="F343" s="4">
        <v>175.2</v>
      </c>
      <c r="G343" s="4">
        <v>166.6</v>
      </c>
      <c r="H343" s="4">
        <v>195.8</v>
      </c>
      <c r="I343" s="4">
        <v>174.2</v>
      </c>
      <c r="J343" s="4">
        <v>182.1</v>
      </c>
      <c r="K343" s="4">
        <v>164.3</v>
      </c>
      <c r="L343" s="4">
        <v>120</v>
      </c>
      <c r="M343" s="4">
        <v>190</v>
      </c>
      <c r="N343" s="4">
        <v>168.4</v>
      </c>
      <c r="O343" s="4">
        <v>185.2</v>
      </c>
      <c r="P343" s="4">
        <v>175</v>
      </c>
      <c r="Q343" s="4">
        <v>194.6</v>
      </c>
      <c r="R343" s="4">
        <v>178.3</v>
      </c>
      <c r="S343" s="4">
        <v>171.3</v>
      </c>
      <c r="T343" s="4">
        <v>177.3</v>
      </c>
      <c r="U343" s="4">
        <v>167.8</v>
      </c>
      <c r="V343" s="4">
        <v>179.6</v>
      </c>
      <c r="W343" s="4">
        <v>167.4</v>
      </c>
      <c r="X343" s="4">
        <v>176.1</v>
      </c>
      <c r="Y343" s="4">
        <v>161.6</v>
      </c>
      <c r="Z343" s="4">
        <v>166.3</v>
      </c>
      <c r="AA343" s="4">
        <v>171.4</v>
      </c>
      <c r="AB343" s="4">
        <v>169.7</v>
      </c>
      <c r="AC343" s="4">
        <v>168.4</v>
      </c>
      <c r="AD343" s="4">
        <v>173.4</v>
      </c>
    </row>
    <row r="344" spans="1:30" hidden="1" x14ac:dyDescent="0.3">
      <c r="A344" t="s">
        <v>30</v>
      </c>
      <c r="B344">
        <v>2022</v>
      </c>
      <c r="C344" t="s">
        <v>41</v>
      </c>
      <c r="D344" s="4">
        <v>159.5</v>
      </c>
      <c r="E344" s="4">
        <v>204.1</v>
      </c>
      <c r="F344" s="4">
        <v>168.3</v>
      </c>
      <c r="G344" s="4">
        <v>167.9</v>
      </c>
      <c r="H344" s="4">
        <v>198.1</v>
      </c>
      <c r="I344" s="4">
        <v>169.2</v>
      </c>
      <c r="J344" s="4">
        <v>173.1</v>
      </c>
      <c r="K344" s="4">
        <v>167.1</v>
      </c>
      <c r="L344" s="4">
        <v>120.2</v>
      </c>
      <c r="M344" s="4">
        <v>195.6</v>
      </c>
      <c r="N344" s="4">
        <v>174.8</v>
      </c>
      <c r="O344" s="4">
        <v>184</v>
      </c>
      <c r="P344" s="4">
        <v>173.9</v>
      </c>
      <c r="Q344" s="4">
        <v>193.7</v>
      </c>
      <c r="R344" s="4">
        <v>183.2</v>
      </c>
      <c r="S344" s="4">
        <v>181.7</v>
      </c>
      <c r="T344" s="4">
        <v>183</v>
      </c>
      <c r="U344" s="4">
        <v>169</v>
      </c>
      <c r="V344" s="4">
        <v>179.1</v>
      </c>
      <c r="W344" s="4">
        <v>172.3</v>
      </c>
      <c r="X344" s="4">
        <v>179.4</v>
      </c>
      <c r="Y344" s="4">
        <v>166.6</v>
      </c>
      <c r="Z344" s="4">
        <v>169.3</v>
      </c>
      <c r="AA344" s="4">
        <v>175.7</v>
      </c>
      <c r="AB344" s="4">
        <v>171.1</v>
      </c>
      <c r="AC344" s="4">
        <v>172.6</v>
      </c>
      <c r="AD344" s="4">
        <v>175.3</v>
      </c>
    </row>
    <row r="345" spans="1:30" hidden="1" x14ac:dyDescent="0.3">
      <c r="A345" t="s">
        <v>33</v>
      </c>
      <c r="B345">
        <v>2022</v>
      </c>
      <c r="C345" t="s">
        <v>41</v>
      </c>
      <c r="D345" s="4">
        <v>162.1</v>
      </c>
      <c r="E345" s="4">
        <v>210.9</v>
      </c>
      <c r="F345" s="4">
        <v>170.6</v>
      </c>
      <c r="G345" s="4">
        <v>168.4</v>
      </c>
      <c r="H345" s="4">
        <v>182.5</v>
      </c>
      <c r="I345" s="4">
        <v>177.1</v>
      </c>
      <c r="J345" s="4">
        <v>213.1</v>
      </c>
      <c r="K345" s="4">
        <v>167.3</v>
      </c>
      <c r="L345" s="4">
        <v>122.2</v>
      </c>
      <c r="M345" s="4">
        <v>189.7</v>
      </c>
      <c r="N345" s="4">
        <v>160.5</v>
      </c>
      <c r="O345" s="4">
        <v>188.9</v>
      </c>
      <c r="P345" s="4">
        <v>180.4</v>
      </c>
      <c r="Q345" s="4">
        <v>198.7</v>
      </c>
      <c r="R345" s="4">
        <v>173.7</v>
      </c>
      <c r="S345" s="4">
        <v>160</v>
      </c>
      <c r="T345" s="4">
        <v>171.6</v>
      </c>
      <c r="U345" s="4">
        <v>169</v>
      </c>
      <c r="V345" s="4">
        <v>178.4</v>
      </c>
      <c r="W345" s="4">
        <v>164.2</v>
      </c>
      <c r="X345" s="4">
        <v>172.6</v>
      </c>
      <c r="Y345" s="4">
        <v>157.69999999999999</v>
      </c>
      <c r="Z345" s="4">
        <v>165.1</v>
      </c>
      <c r="AA345" s="4">
        <v>169.9</v>
      </c>
      <c r="AB345" s="4">
        <v>171.4</v>
      </c>
      <c r="AC345" s="4">
        <v>165.4</v>
      </c>
      <c r="AD345" s="4">
        <v>173.1</v>
      </c>
    </row>
    <row r="346" spans="1:30" x14ac:dyDescent="0.3">
      <c r="A346" t="s">
        <v>34</v>
      </c>
      <c r="B346">
        <v>2022</v>
      </c>
      <c r="C346" t="s">
        <v>41</v>
      </c>
      <c r="D346" s="4">
        <v>160.30000000000001</v>
      </c>
      <c r="E346" s="4">
        <v>206.5</v>
      </c>
      <c r="F346" s="4">
        <v>169.2</v>
      </c>
      <c r="G346" s="4">
        <v>168.1</v>
      </c>
      <c r="H346" s="4">
        <v>192.4</v>
      </c>
      <c r="I346" s="4">
        <v>172.9</v>
      </c>
      <c r="J346" s="4">
        <v>186.7</v>
      </c>
      <c r="K346" s="4">
        <v>167.2</v>
      </c>
      <c r="L346" s="4">
        <v>120.9</v>
      </c>
      <c r="M346" s="4">
        <v>193.6</v>
      </c>
      <c r="N346" s="4">
        <v>168.8</v>
      </c>
      <c r="O346" s="4">
        <v>186.3</v>
      </c>
      <c r="P346" s="4">
        <v>176.3</v>
      </c>
      <c r="Q346" s="4">
        <v>195</v>
      </c>
      <c r="R346" s="4">
        <v>179.5</v>
      </c>
      <c r="S346" s="4">
        <v>172.7</v>
      </c>
      <c r="T346" s="4">
        <v>178.5</v>
      </c>
      <c r="U346" s="4">
        <v>169</v>
      </c>
      <c r="V346" s="4">
        <v>178.8</v>
      </c>
      <c r="W346" s="4">
        <v>168.5</v>
      </c>
      <c r="X346" s="4">
        <v>176.8</v>
      </c>
      <c r="Y346" s="4">
        <v>161.9</v>
      </c>
      <c r="Z346" s="4">
        <v>166.9</v>
      </c>
      <c r="AA346" s="4">
        <v>172.3</v>
      </c>
      <c r="AB346" s="4">
        <v>171.2</v>
      </c>
      <c r="AC346" s="4">
        <v>169.1</v>
      </c>
      <c r="AD346" s="4">
        <v>174.3</v>
      </c>
    </row>
    <row r="347" spans="1:30" hidden="1" x14ac:dyDescent="0.3">
      <c r="A347" t="s">
        <v>30</v>
      </c>
      <c r="B347">
        <v>2022</v>
      </c>
      <c r="C347" t="s">
        <v>42</v>
      </c>
      <c r="D347" s="4">
        <v>162.9</v>
      </c>
      <c r="E347" s="4">
        <v>206.7</v>
      </c>
      <c r="F347" s="4">
        <v>169</v>
      </c>
      <c r="G347" s="4">
        <v>169.5</v>
      </c>
      <c r="H347" s="4">
        <v>194.1</v>
      </c>
      <c r="I347" s="4">
        <v>164.1</v>
      </c>
      <c r="J347" s="4">
        <v>176.9</v>
      </c>
      <c r="K347" s="4">
        <v>169</v>
      </c>
      <c r="L347" s="4">
        <v>120.8</v>
      </c>
      <c r="M347" s="4">
        <v>199.1</v>
      </c>
      <c r="N347" s="4">
        <v>175.4</v>
      </c>
      <c r="O347" s="4">
        <v>184.8</v>
      </c>
      <c r="P347" s="4">
        <v>175.5</v>
      </c>
      <c r="Q347" s="4">
        <v>194.5</v>
      </c>
      <c r="R347" s="4">
        <v>184.7</v>
      </c>
      <c r="S347" s="4">
        <v>183.3</v>
      </c>
      <c r="T347" s="4">
        <v>184.5</v>
      </c>
      <c r="U347" s="4">
        <v>169.5</v>
      </c>
      <c r="V347" s="4">
        <v>179.7</v>
      </c>
      <c r="W347" s="4">
        <v>173.6</v>
      </c>
      <c r="X347" s="4">
        <v>180.2</v>
      </c>
      <c r="Y347" s="4">
        <v>166.9</v>
      </c>
      <c r="Z347" s="4">
        <v>170</v>
      </c>
      <c r="AA347" s="4">
        <v>176.2</v>
      </c>
      <c r="AB347" s="4">
        <v>170.8</v>
      </c>
      <c r="AC347" s="4">
        <v>173.1</v>
      </c>
      <c r="AD347" s="4">
        <v>176.4</v>
      </c>
    </row>
    <row r="348" spans="1:30" hidden="1" x14ac:dyDescent="0.3">
      <c r="A348" t="s">
        <v>33</v>
      </c>
      <c r="B348">
        <v>2022</v>
      </c>
      <c r="C348" t="s">
        <v>42</v>
      </c>
      <c r="D348" s="4">
        <v>164.9</v>
      </c>
      <c r="E348" s="4">
        <v>213.7</v>
      </c>
      <c r="F348" s="4">
        <v>170.9</v>
      </c>
      <c r="G348" s="4">
        <v>170.1</v>
      </c>
      <c r="H348" s="4">
        <v>179.3</v>
      </c>
      <c r="I348" s="4">
        <v>167.5</v>
      </c>
      <c r="J348" s="4">
        <v>220.8</v>
      </c>
      <c r="K348" s="4">
        <v>169.2</v>
      </c>
      <c r="L348" s="4">
        <v>123.1</v>
      </c>
      <c r="M348" s="4">
        <v>193.6</v>
      </c>
      <c r="N348" s="4">
        <v>161.1</v>
      </c>
      <c r="O348" s="4">
        <v>190.4</v>
      </c>
      <c r="P348" s="4">
        <v>181.8</v>
      </c>
      <c r="Q348" s="4">
        <v>199.7</v>
      </c>
      <c r="R348" s="4">
        <v>175</v>
      </c>
      <c r="S348" s="4">
        <v>161.69999999999999</v>
      </c>
      <c r="T348" s="4">
        <v>173</v>
      </c>
      <c r="U348" s="4">
        <v>169.5</v>
      </c>
      <c r="V348" s="4">
        <v>179.2</v>
      </c>
      <c r="W348" s="4">
        <v>165</v>
      </c>
      <c r="X348" s="4">
        <v>173.8</v>
      </c>
      <c r="Y348" s="4">
        <v>158.19999999999999</v>
      </c>
      <c r="Z348" s="4">
        <v>165.8</v>
      </c>
      <c r="AA348" s="4">
        <v>170.9</v>
      </c>
      <c r="AB348" s="4">
        <v>171.1</v>
      </c>
      <c r="AC348" s="4">
        <v>166.1</v>
      </c>
      <c r="AD348" s="4">
        <v>174.1</v>
      </c>
    </row>
    <row r="349" spans="1:30" x14ac:dyDescent="0.3">
      <c r="A349" t="s">
        <v>34</v>
      </c>
      <c r="B349">
        <v>2022</v>
      </c>
      <c r="C349" t="s">
        <v>42</v>
      </c>
      <c r="D349" s="4">
        <v>163.5</v>
      </c>
      <c r="E349" s="4">
        <v>209.2</v>
      </c>
      <c r="F349" s="4">
        <v>169.7</v>
      </c>
      <c r="G349" s="4">
        <v>169.7</v>
      </c>
      <c r="H349" s="4">
        <v>188.7</v>
      </c>
      <c r="I349" s="4">
        <v>165.7</v>
      </c>
      <c r="J349" s="4">
        <v>191.8</v>
      </c>
      <c r="K349" s="4">
        <v>169.1</v>
      </c>
      <c r="L349" s="4">
        <v>121.6</v>
      </c>
      <c r="M349" s="4">
        <v>197.3</v>
      </c>
      <c r="N349" s="4">
        <v>169.4</v>
      </c>
      <c r="O349" s="4">
        <v>187.4</v>
      </c>
      <c r="P349" s="4">
        <v>177.8</v>
      </c>
      <c r="Q349" s="4">
        <v>195.9</v>
      </c>
      <c r="R349" s="4">
        <v>180.9</v>
      </c>
      <c r="S349" s="4">
        <v>174.3</v>
      </c>
      <c r="T349" s="4">
        <v>179.9</v>
      </c>
      <c r="U349" s="4">
        <v>169.5</v>
      </c>
      <c r="V349" s="4">
        <v>179.5</v>
      </c>
      <c r="W349" s="4">
        <v>169.5</v>
      </c>
      <c r="X349" s="4">
        <v>177.8</v>
      </c>
      <c r="Y349" s="4">
        <v>162.30000000000001</v>
      </c>
      <c r="Z349" s="4">
        <v>167.6</v>
      </c>
      <c r="AA349" s="4">
        <v>173.1</v>
      </c>
      <c r="AB349" s="4">
        <v>170.9</v>
      </c>
      <c r="AC349" s="4">
        <v>169.7</v>
      </c>
      <c r="AD349" s="4">
        <v>175.3</v>
      </c>
    </row>
    <row r="350" spans="1:30" hidden="1" x14ac:dyDescent="0.3">
      <c r="A350" t="s">
        <v>30</v>
      </c>
      <c r="B350">
        <v>2022</v>
      </c>
      <c r="C350" t="s">
        <v>43</v>
      </c>
      <c r="D350" s="4">
        <v>164.7</v>
      </c>
      <c r="E350" s="4">
        <v>208.8</v>
      </c>
      <c r="F350" s="4">
        <v>170.3</v>
      </c>
      <c r="G350" s="4">
        <v>170.9</v>
      </c>
      <c r="H350" s="4">
        <v>191.6</v>
      </c>
      <c r="I350" s="4">
        <v>162.19999999999999</v>
      </c>
      <c r="J350" s="4">
        <v>184.8</v>
      </c>
      <c r="K350" s="4">
        <v>169.7</v>
      </c>
      <c r="L350" s="4">
        <v>121.1</v>
      </c>
      <c r="M350" s="4">
        <v>201.6</v>
      </c>
      <c r="N350" s="4">
        <v>175.8</v>
      </c>
      <c r="O350" s="4">
        <v>185.6</v>
      </c>
      <c r="P350" s="4">
        <v>177.4</v>
      </c>
      <c r="Q350" s="4">
        <v>194.9</v>
      </c>
      <c r="R350" s="4">
        <v>186.1</v>
      </c>
      <c r="S350" s="4">
        <v>184.4</v>
      </c>
      <c r="T350" s="4">
        <v>185.9</v>
      </c>
      <c r="U350" s="4">
        <v>171.2</v>
      </c>
      <c r="V350" s="4">
        <v>180.8</v>
      </c>
      <c r="W350" s="4">
        <v>174.4</v>
      </c>
      <c r="X350" s="4">
        <v>181.2</v>
      </c>
      <c r="Y350" s="4">
        <v>167.4</v>
      </c>
      <c r="Z350" s="4">
        <v>170.6</v>
      </c>
      <c r="AA350" s="4">
        <v>176.5</v>
      </c>
      <c r="AB350" s="4">
        <v>172</v>
      </c>
      <c r="AC350" s="4">
        <v>173.9</v>
      </c>
      <c r="AD350" s="4">
        <v>177.9</v>
      </c>
    </row>
    <row r="351" spans="1:30" hidden="1" x14ac:dyDescent="0.3">
      <c r="A351" t="s">
        <v>33</v>
      </c>
      <c r="B351">
        <v>2022</v>
      </c>
      <c r="C351" t="s">
        <v>43</v>
      </c>
      <c r="D351" s="4">
        <v>166.4</v>
      </c>
      <c r="E351" s="4">
        <v>214.9</v>
      </c>
      <c r="F351" s="4">
        <v>171.9</v>
      </c>
      <c r="G351" s="4">
        <v>171</v>
      </c>
      <c r="H351" s="4">
        <v>177.7</v>
      </c>
      <c r="I351" s="4">
        <v>165.7</v>
      </c>
      <c r="J351" s="4">
        <v>228.6</v>
      </c>
      <c r="K351" s="4">
        <v>169.9</v>
      </c>
      <c r="L351" s="4">
        <v>123.4</v>
      </c>
      <c r="M351" s="4">
        <v>196.4</v>
      </c>
      <c r="N351" s="4">
        <v>161.6</v>
      </c>
      <c r="O351" s="4">
        <v>191.5</v>
      </c>
      <c r="P351" s="4">
        <v>183.3</v>
      </c>
      <c r="Q351" s="4">
        <v>200.1</v>
      </c>
      <c r="R351" s="4">
        <v>175.5</v>
      </c>
      <c r="S351" s="4">
        <v>162.6</v>
      </c>
      <c r="T351" s="4">
        <v>173.6</v>
      </c>
      <c r="U351" s="4">
        <v>171.2</v>
      </c>
      <c r="V351" s="4">
        <v>180</v>
      </c>
      <c r="W351" s="4">
        <v>166</v>
      </c>
      <c r="X351" s="4">
        <v>174.7</v>
      </c>
      <c r="Y351" s="4">
        <v>158.80000000000001</v>
      </c>
      <c r="Z351" s="4">
        <v>166.3</v>
      </c>
      <c r="AA351" s="4">
        <v>171.2</v>
      </c>
      <c r="AB351" s="4">
        <v>172.3</v>
      </c>
      <c r="AC351" s="4">
        <v>166.8</v>
      </c>
      <c r="AD351" s="4">
        <v>175.3</v>
      </c>
    </row>
    <row r="352" spans="1:30" x14ac:dyDescent="0.3">
      <c r="A352" t="s">
        <v>34</v>
      </c>
      <c r="B352">
        <v>2022</v>
      </c>
      <c r="C352" t="s">
        <v>43</v>
      </c>
      <c r="D352" s="4">
        <v>165.2</v>
      </c>
      <c r="E352" s="4">
        <v>210.9</v>
      </c>
      <c r="F352" s="4">
        <v>170.9</v>
      </c>
      <c r="G352" s="4">
        <v>170.9</v>
      </c>
      <c r="H352" s="4">
        <v>186.5</v>
      </c>
      <c r="I352" s="4">
        <v>163.80000000000001</v>
      </c>
      <c r="J352" s="4">
        <v>199.7</v>
      </c>
      <c r="K352" s="4">
        <v>169.8</v>
      </c>
      <c r="L352" s="4">
        <v>121.9</v>
      </c>
      <c r="M352" s="4">
        <v>199.9</v>
      </c>
      <c r="N352" s="4">
        <v>169.9</v>
      </c>
      <c r="O352" s="4">
        <v>188.3</v>
      </c>
      <c r="P352" s="4">
        <v>179.6</v>
      </c>
      <c r="Q352" s="4">
        <v>196.3</v>
      </c>
      <c r="R352" s="4">
        <v>181.9</v>
      </c>
      <c r="S352" s="4">
        <v>175.3</v>
      </c>
      <c r="T352" s="4">
        <v>181</v>
      </c>
      <c r="U352" s="4">
        <v>171.2</v>
      </c>
      <c r="V352" s="4">
        <v>180.5</v>
      </c>
      <c r="W352" s="4">
        <v>170.4</v>
      </c>
      <c r="X352" s="4">
        <v>178.7</v>
      </c>
      <c r="Y352" s="4">
        <v>162.9</v>
      </c>
      <c r="Z352" s="4">
        <v>168.2</v>
      </c>
      <c r="AA352" s="4">
        <v>173.4</v>
      </c>
      <c r="AB352" s="4">
        <v>172.1</v>
      </c>
      <c r="AC352" s="4">
        <v>170.5</v>
      </c>
      <c r="AD352" s="4">
        <v>176.7</v>
      </c>
    </row>
    <row r="353" spans="1:30" hidden="1" x14ac:dyDescent="0.3">
      <c r="A353" t="s">
        <v>30</v>
      </c>
      <c r="B353">
        <v>2022</v>
      </c>
      <c r="C353" t="s">
        <v>45</v>
      </c>
      <c r="D353" s="4">
        <v>166.9</v>
      </c>
      <c r="E353" s="4">
        <v>207.2</v>
      </c>
      <c r="F353" s="4">
        <v>180.2</v>
      </c>
      <c r="G353" s="4">
        <v>172.3</v>
      </c>
      <c r="H353" s="4">
        <v>194</v>
      </c>
      <c r="I353" s="4">
        <v>159.1</v>
      </c>
      <c r="J353" s="4">
        <v>171.6</v>
      </c>
      <c r="K353" s="4">
        <v>170.2</v>
      </c>
      <c r="L353" s="4">
        <v>121.5</v>
      </c>
      <c r="M353" s="4">
        <v>204.8</v>
      </c>
      <c r="N353" s="4">
        <v>176.4</v>
      </c>
      <c r="O353" s="4">
        <v>186.9</v>
      </c>
      <c r="P353" s="4">
        <v>176.6</v>
      </c>
      <c r="Q353" s="4">
        <v>195.5</v>
      </c>
      <c r="R353" s="4">
        <v>187.2</v>
      </c>
      <c r="S353" s="4">
        <v>185.2</v>
      </c>
      <c r="T353" s="4">
        <v>186.9</v>
      </c>
      <c r="U353" s="4">
        <v>171.8</v>
      </c>
      <c r="V353" s="4">
        <v>181.9</v>
      </c>
      <c r="W353" s="4">
        <v>175.5</v>
      </c>
      <c r="X353" s="4">
        <v>182.3</v>
      </c>
      <c r="Y353" s="4">
        <v>167.5</v>
      </c>
      <c r="Z353" s="4">
        <v>170.8</v>
      </c>
      <c r="AA353" s="4">
        <v>176.9</v>
      </c>
      <c r="AB353" s="4">
        <v>173.4</v>
      </c>
      <c r="AC353" s="4">
        <v>174.6</v>
      </c>
      <c r="AD353" s="4">
        <v>177.8</v>
      </c>
    </row>
    <row r="354" spans="1:30" hidden="1" x14ac:dyDescent="0.3">
      <c r="A354" t="s">
        <v>33</v>
      </c>
      <c r="B354">
        <v>2022</v>
      </c>
      <c r="C354" t="s">
        <v>45</v>
      </c>
      <c r="D354" s="4">
        <v>168.4</v>
      </c>
      <c r="E354" s="4">
        <v>213.4</v>
      </c>
      <c r="F354" s="4">
        <v>183.2</v>
      </c>
      <c r="G354" s="4">
        <v>172.3</v>
      </c>
      <c r="H354" s="4">
        <v>180</v>
      </c>
      <c r="I354" s="4">
        <v>162.6</v>
      </c>
      <c r="J354" s="4">
        <v>205.5</v>
      </c>
      <c r="K354" s="4">
        <v>171</v>
      </c>
      <c r="L354" s="4">
        <v>123.4</v>
      </c>
      <c r="M354" s="4">
        <v>198.8</v>
      </c>
      <c r="N354" s="4">
        <v>162.1</v>
      </c>
      <c r="O354" s="4">
        <v>192.4</v>
      </c>
      <c r="P354" s="4">
        <v>181.3</v>
      </c>
      <c r="Q354" s="4">
        <v>200.6</v>
      </c>
      <c r="R354" s="4">
        <v>176.7</v>
      </c>
      <c r="S354" s="4">
        <v>163.5</v>
      </c>
      <c r="T354" s="4">
        <v>174.7</v>
      </c>
      <c r="U354" s="4">
        <v>171.8</v>
      </c>
      <c r="V354" s="4">
        <v>180.3</v>
      </c>
      <c r="W354" s="4">
        <v>166.9</v>
      </c>
      <c r="X354" s="4">
        <v>175.8</v>
      </c>
      <c r="Y354" s="4">
        <v>158.9</v>
      </c>
      <c r="Z354" s="4">
        <v>166.7</v>
      </c>
      <c r="AA354" s="4">
        <v>171.5</v>
      </c>
      <c r="AB354" s="4">
        <v>173.8</v>
      </c>
      <c r="AC354" s="4">
        <v>167.4</v>
      </c>
      <c r="AD354" s="4">
        <v>174.1</v>
      </c>
    </row>
    <row r="355" spans="1:30" x14ac:dyDescent="0.3">
      <c r="A355" t="s">
        <v>34</v>
      </c>
      <c r="B355">
        <v>2022</v>
      </c>
      <c r="C355" t="s">
        <v>45</v>
      </c>
      <c r="D355" s="4">
        <v>167.4</v>
      </c>
      <c r="E355" s="4">
        <v>209.4</v>
      </c>
      <c r="F355" s="4">
        <v>181.4</v>
      </c>
      <c r="G355" s="4">
        <v>172.3</v>
      </c>
      <c r="H355" s="4">
        <v>188.9</v>
      </c>
      <c r="I355" s="4">
        <v>160.69999999999999</v>
      </c>
      <c r="J355" s="4">
        <v>183.1</v>
      </c>
      <c r="K355" s="4">
        <v>170.5</v>
      </c>
      <c r="L355" s="4">
        <v>122.1</v>
      </c>
      <c r="M355" s="4">
        <v>202.8</v>
      </c>
      <c r="N355" s="4">
        <v>170.4</v>
      </c>
      <c r="O355" s="4">
        <v>189.5</v>
      </c>
      <c r="P355" s="4">
        <v>178.3</v>
      </c>
      <c r="Q355" s="4">
        <v>196.9</v>
      </c>
      <c r="R355" s="4">
        <v>183.1</v>
      </c>
      <c r="S355" s="4">
        <v>176.2</v>
      </c>
      <c r="T355" s="4">
        <v>182.1</v>
      </c>
      <c r="U355" s="4">
        <v>171.8</v>
      </c>
      <c r="V355" s="4">
        <v>181.3</v>
      </c>
      <c r="W355" s="4">
        <v>171.4</v>
      </c>
      <c r="X355" s="4">
        <v>179.8</v>
      </c>
      <c r="Y355" s="4">
        <v>163</v>
      </c>
      <c r="Z355" s="4">
        <v>168.5</v>
      </c>
      <c r="AA355" s="4">
        <v>173.7</v>
      </c>
      <c r="AB355" s="4">
        <v>173.6</v>
      </c>
      <c r="AC355" s="4">
        <v>171.1</v>
      </c>
      <c r="AD355" s="4">
        <v>176.5</v>
      </c>
    </row>
    <row r="356" spans="1:30" hidden="1" x14ac:dyDescent="0.3">
      <c r="A356" t="s">
        <v>30</v>
      </c>
      <c r="B356">
        <v>2022</v>
      </c>
      <c r="C356" t="s">
        <v>46</v>
      </c>
      <c r="D356" s="4">
        <v>168.8</v>
      </c>
      <c r="E356" s="4">
        <v>206.9</v>
      </c>
      <c r="F356" s="4">
        <v>189.1</v>
      </c>
      <c r="G356" s="4">
        <v>173.4</v>
      </c>
      <c r="H356" s="4">
        <v>193.9</v>
      </c>
      <c r="I356" s="4">
        <v>156.69999999999999</v>
      </c>
      <c r="J356" s="4">
        <v>150.19999999999999</v>
      </c>
      <c r="K356" s="4">
        <v>170.5</v>
      </c>
      <c r="L356" s="4">
        <v>121.2</v>
      </c>
      <c r="M356" s="4">
        <v>207.5</v>
      </c>
      <c r="N356" s="4">
        <v>176.8</v>
      </c>
      <c r="O356" s="4">
        <v>187.7</v>
      </c>
      <c r="P356" s="4">
        <v>174.4</v>
      </c>
      <c r="Q356" s="4">
        <v>195.9</v>
      </c>
      <c r="R356" s="4">
        <v>188.1</v>
      </c>
      <c r="S356" s="4">
        <v>185.9</v>
      </c>
      <c r="T356" s="4">
        <v>187.8</v>
      </c>
      <c r="U356" s="4">
        <v>170.7</v>
      </c>
      <c r="V356" s="4">
        <v>182.8</v>
      </c>
      <c r="W356" s="4">
        <v>176.4</v>
      </c>
      <c r="X356" s="4">
        <v>183.5</v>
      </c>
      <c r="Y356" s="4">
        <v>167.8</v>
      </c>
      <c r="Z356" s="4">
        <v>171.2</v>
      </c>
      <c r="AA356" s="4">
        <v>177.3</v>
      </c>
      <c r="AB356" s="4">
        <v>175.7</v>
      </c>
      <c r="AC356" s="4">
        <v>175.5</v>
      </c>
      <c r="AD356" s="4">
        <v>177.1</v>
      </c>
    </row>
    <row r="357" spans="1:30" hidden="1" x14ac:dyDescent="0.3">
      <c r="A357" t="s">
        <v>33</v>
      </c>
      <c r="B357">
        <v>2022</v>
      </c>
      <c r="C357" t="s">
        <v>46</v>
      </c>
      <c r="D357" s="4">
        <v>170.2</v>
      </c>
      <c r="E357" s="4">
        <v>212.9</v>
      </c>
      <c r="F357" s="4">
        <v>191.9</v>
      </c>
      <c r="G357" s="4">
        <v>173.9</v>
      </c>
      <c r="H357" s="4">
        <v>179.1</v>
      </c>
      <c r="I357" s="4">
        <v>159.5</v>
      </c>
      <c r="J357" s="4">
        <v>178.7</v>
      </c>
      <c r="K357" s="4">
        <v>171.3</v>
      </c>
      <c r="L357" s="4">
        <v>123.1</v>
      </c>
      <c r="M357" s="4">
        <v>200.5</v>
      </c>
      <c r="N357" s="4">
        <v>162.80000000000001</v>
      </c>
      <c r="O357" s="4">
        <v>193.3</v>
      </c>
      <c r="P357" s="4">
        <v>178.6</v>
      </c>
      <c r="Q357" s="4">
        <v>201.1</v>
      </c>
      <c r="R357" s="4">
        <v>177.7</v>
      </c>
      <c r="S357" s="4">
        <v>164.5</v>
      </c>
      <c r="T357" s="4">
        <v>175.7</v>
      </c>
      <c r="U357" s="4">
        <v>170.7</v>
      </c>
      <c r="V357" s="4">
        <v>180.6</v>
      </c>
      <c r="W357" s="4">
        <v>167.3</v>
      </c>
      <c r="X357" s="4">
        <v>177.2</v>
      </c>
      <c r="Y357" s="4">
        <v>159.4</v>
      </c>
      <c r="Z357" s="4">
        <v>167.1</v>
      </c>
      <c r="AA357" s="4">
        <v>171.8</v>
      </c>
      <c r="AB357" s="4">
        <v>176</v>
      </c>
      <c r="AC357" s="4">
        <v>168.2</v>
      </c>
      <c r="AD357" s="4">
        <v>174.1</v>
      </c>
    </row>
    <row r="358" spans="1:30" x14ac:dyDescent="0.3">
      <c r="A358" t="s">
        <v>34</v>
      </c>
      <c r="B358">
        <v>2022</v>
      </c>
      <c r="C358" t="s">
        <v>46</v>
      </c>
      <c r="D358" s="4">
        <v>169.2</v>
      </c>
      <c r="E358" s="4">
        <v>209</v>
      </c>
      <c r="F358" s="4">
        <v>190.2</v>
      </c>
      <c r="G358" s="4">
        <v>173.6</v>
      </c>
      <c r="H358" s="4">
        <v>188.5</v>
      </c>
      <c r="I358" s="4">
        <v>158</v>
      </c>
      <c r="J358" s="4">
        <v>159.9</v>
      </c>
      <c r="K358" s="4">
        <v>170.8</v>
      </c>
      <c r="L358" s="4">
        <v>121.8</v>
      </c>
      <c r="M358" s="4">
        <v>205.2</v>
      </c>
      <c r="N358" s="4">
        <v>171</v>
      </c>
      <c r="O358" s="4">
        <v>190.3</v>
      </c>
      <c r="P358" s="4">
        <v>175.9</v>
      </c>
      <c r="Q358" s="4">
        <v>197.3</v>
      </c>
      <c r="R358" s="4">
        <v>184</v>
      </c>
      <c r="S358" s="4">
        <v>177</v>
      </c>
      <c r="T358" s="4">
        <v>183</v>
      </c>
      <c r="U358" s="4">
        <v>170.7</v>
      </c>
      <c r="V358" s="4">
        <v>182</v>
      </c>
      <c r="W358" s="4">
        <v>172.1</v>
      </c>
      <c r="X358" s="4">
        <v>181.1</v>
      </c>
      <c r="Y358" s="4">
        <v>163.4</v>
      </c>
      <c r="Z358" s="4">
        <v>168.9</v>
      </c>
      <c r="AA358" s="4">
        <v>174.1</v>
      </c>
      <c r="AB358" s="4">
        <v>175.8</v>
      </c>
      <c r="AC358" s="4">
        <v>172</v>
      </c>
      <c r="AD358" s="4">
        <v>175.7</v>
      </c>
    </row>
    <row r="359" spans="1:30" hidden="1" x14ac:dyDescent="0.3">
      <c r="A359" t="s">
        <v>30</v>
      </c>
      <c r="B359">
        <v>2023</v>
      </c>
      <c r="C359" t="s">
        <v>31</v>
      </c>
      <c r="D359" s="4">
        <v>174</v>
      </c>
      <c r="E359" s="4">
        <v>208.3</v>
      </c>
      <c r="F359" s="4">
        <v>192.9</v>
      </c>
      <c r="G359" s="4">
        <v>174.3</v>
      </c>
      <c r="H359" s="4">
        <v>192.6</v>
      </c>
      <c r="I359" s="4">
        <v>156.30000000000001</v>
      </c>
      <c r="J359" s="4">
        <v>142.9</v>
      </c>
      <c r="K359" s="4">
        <v>170.7</v>
      </c>
      <c r="L359" s="4">
        <v>120.3</v>
      </c>
      <c r="M359" s="4">
        <v>210.5</v>
      </c>
      <c r="N359" s="4">
        <v>176.9</v>
      </c>
      <c r="O359" s="4">
        <v>188.5</v>
      </c>
      <c r="P359" s="4">
        <v>175</v>
      </c>
      <c r="Q359" s="4">
        <v>196.9</v>
      </c>
      <c r="R359" s="4">
        <v>189</v>
      </c>
      <c r="S359" s="4">
        <v>186.3</v>
      </c>
      <c r="T359" s="4">
        <v>188.6</v>
      </c>
      <c r="U359" s="4">
        <v>172.1</v>
      </c>
      <c r="V359" s="4">
        <v>183.2</v>
      </c>
      <c r="W359" s="4">
        <v>177.2</v>
      </c>
      <c r="X359" s="4">
        <v>184.7</v>
      </c>
      <c r="Y359" s="4">
        <v>168.2</v>
      </c>
      <c r="Z359" s="4">
        <v>171.8</v>
      </c>
      <c r="AA359" s="4">
        <v>177.8</v>
      </c>
      <c r="AB359" s="4">
        <v>178.4</v>
      </c>
      <c r="AC359" s="4">
        <v>176.5</v>
      </c>
      <c r="AD359" s="4">
        <v>177.8</v>
      </c>
    </row>
    <row r="360" spans="1:30" hidden="1" x14ac:dyDescent="0.3">
      <c r="A360" t="s">
        <v>33</v>
      </c>
      <c r="B360">
        <v>2023</v>
      </c>
      <c r="C360" t="s">
        <v>31</v>
      </c>
      <c r="D360" s="4">
        <v>173.3</v>
      </c>
      <c r="E360" s="4">
        <v>215.2</v>
      </c>
      <c r="F360" s="4">
        <v>197</v>
      </c>
      <c r="G360" s="4">
        <v>175.2</v>
      </c>
      <c r="H360" s="4">
        <v>178</v>
      </c>
      <c r="I360" s="4">
        <v>160.5</v>
      </c>
      <c r="J360" s="4">
        <v>175.3</v>
      </c>
      <c r="K360" s="4">
        <v>171.2</v>
      </c>
      <c r="L360" s="4">
        <v>122.7</v>
      </c>
      <c r="M360" s="4">
        <v>204.3</v>
      </c>
      <c r="N360" s="4">
        <v>163.69999999999999</v>
      </c>
      <c r="O360" s="4">
        <v>194.3</v>
      </c>
      <c r="P360" s="4">
        <v>179.5</v>
      </c>
      <c r="Q360" s="4">
        <v>201.6</v>
      </c>
      <c r="R360" s="4">
        <v>178.7</v>
      </c>
      <c r="S360" s="4">
        <v>165.3</v>
      </c>
      <c r="T360" s="4">
        <v>176.6</v>
      </c>
      <c r="U360" s="4">
        <v>172.1</v>
      </c>
      <c r="V360" s="4">
        <v>180.1</v>
      </c>
      <c r="W360" s="4">
        <v>168</v>
      </c>
      <c r="X360" s="4">
        <v>178.5</v>
      </c>
      <c r="Y360" s="4">
        <v>159.5</v>
      </c>
      <c r="Z360" s="4">
        <v>167.8</v>
      </c>
      <c r="AA360" s="4">
        <v>171.8</v>
      </c>
      <c r="AB360" s="4">
        <v>178.8</v>
      </c>
      <c r="AC360" s="4">
        <v>168.9</v>
      </c>
      <c r="AD360" s="4">
        <v>174.9</v>
      </c>
    </row>
    <row r="361" spans="1:30" x14ac:dyDescent="0.3">
      <c r="A361" t="s">
        <v>34</v>
      </c>
      <c r="B361">
        <v>2023</v>
      </c>
      <c r="C361" t="s">
        <v>31</v>
      </c>
      <c r="D361" s="4">
        <v>173.8</v>
      </c>
      <c r="E361" s="4">
        <v>210.7</v>
      </c>
      <c r="F361" s="4">
        <v>194.5</v>
      </c>
      <c r="G361" s="4">
        <v>174.6</v>
      </c>
      <c r="H361" s="4">
        <v>187.2</v>
      </c>
      <c r="I361" s="4">
        <v>158.30000000000001</v>
      </c>
      <c r="J361" s="4">
        <v>153.9</v>
      </c>
      <c r="K361" s="4">
        <v>170.9</v>
      </c>
      <c r="L361" s="4">
        <v>121.1</v>
      </c>
      <c r="M361" s="4">
        <v>208.4</v>
      </c>
      <c r="N361" s="4">
        <v>171.4</v>
      </c>
      <c r="O361" s="4">
        <v>191.2</v>
      </c>
      <c r="P361" s="4">
        <v>176.7</v>
      </c>
      <c r="Q361" s="4">
        <v>198.2</v>
      </c>
      <c r="R361" s="4">
        <v>184.9</v>
      </c>
      <c r="S361" s="4">
        <v>177.6</v>
      </c>
      <c r="T361" s="4">
        <v>183.8</v>
      </c>
      <c r="U361" s="4">
        <v>172.1</v>
      </c>
      <c r="V361" s="4">
        <v>182</v>
      </c>
      <c r="W361" s="4">
        <v>172.9</v>
      </c>
      <c r="X361" s="4">
        <v>182.3</v>
      </c>
      <c r="Y361" s="4">
        <v>163.6</v>
      </c>
      <c r="Z361" s="4">
        <v>169.5</v>
      </c>
      <c r="AA361" s="4">
        <v>174.3</v>
      </c>
      <c r="AB361" s="4">
        <v>178.6</v>
      </c>
      <c r="AC361" s="4">
        <v>172.8</v>
      </c>
      <c r="AD361" s="4">
        <v>176.5</v>
      </c>
    </row>
    <row r="362" spans="1:30" hidden="1" x14ac:dyDescent="0.3">
      <c r="A362" t="s">
        <v>30</v>
      </c>
      <c r="B362">
        <v>2023</v>
      </c>
      <c r="C362" t="s">
        <v>35</v>
      </c>
      <c r="D362" s="4">
        <v>174.2</v>
      </c>
      <c r="E362" s="4">
        <v>205.2</v>
      </c>
      <c r="F362" s="4">
        <v>173.9</v>
      </c>
      <c r="G362" s="4">
        <v>177</v>
      </c>
      <c r="H362" s="4">
        <v>183.4</v>
      </c>
      <c r="I362" s="4">
        <v>167.2</v>
      </c>
      <c r="J362" s="4">
        <v>140.9</v>
      </c>
      <c r="K362" s="4">
        <v>170.4</v>
      </c>
      <c r="L362" s="4">
        <v>119.1</v>
      </c>
      <c r="M362" s="4">
        <v>212.1</v>
      </c>
      <c r="N362" s="4">
        <v>177.6</v>
      </c>
      <c r="O362" s="4">
        <v>189.9</v>
      </c>
      <c r="P362" s="4">
        <v>174.8</v>
      </c>
      <c r="Q362" s="4">
        <v>198.3</v>
      </c>
      <c r="R362" s="4">
        <v>190</v>
      </c>
      <c r="S362" s="4">
        <v>187</v>
      </c>
      <c r="T362" s="4">
        <v>189.6</v>
      </c>
      <c r="U362" s="4">
        <v>173.5</v>
      </c>
      <c r="V362" s="4">
        <v>181.6</v>
      </c>
      <c r="W362" s="4">
        <v>178.6</v>
      </c>
      <c r="X362" s="4">
        <v>186.6</v>
      </c>
      <c r="Y362" s="4">
        <v>169</v>
      </c>
      <c r="Z362" s="4">
        <v>172.8</v>
      </c>
      <c r="AA362" s="4">
        <v>178.5</v>
      </c>
      <c r="AB362" s="4">
        <v>180.7</v>
      </c>
      <c r="AC362" s="4">
        <v>177.9</v>
      </c>
      <c r="AD362" s="4">
        <v>178</v>
      </c>
    </row>
    <row r="363" spans="1:30" hidden="1" x14ac:dyDescent="0.3">
      <c r="A363" t="s">
        <v>33</v>
      </c>
      <c r="B363">
        <v>2023</v>
      </c>
      <c r="C363" t="s">
        <v>35</v>
      </c>
      <c r="D363" s="4">
        <v>174.7</v>
      </c>
      <c r="E363" s="4">
        <v>212.2</v>
      </c>
      <c r="F363" s="4">
        <v>177.2</v>
      </c>
      <c r="G363" s="4">
        <v>177.9</v>
      </c>
      <c r="H363" s="4">
        <v>172.2</v>
      </c>
      <c r="I363" s="4">
        <v>172.1</v>
      </c>
      <c r="J363" s="4">
        <v>175.8</v>
      </c>
      <c r="K363" s="4">
        <v>172.2</v>
      </c>
      <c r="L363" s="4">
        <v>121.9</v>
      </c>
      <c r="M363" s="4">
        <v>204.8</v>
      </c>
      <c r="N363" s="4">
        <v>164.9</v>
      </c>
      <c r="O363" s="4">
        <v>196.6</v>
      </c>
      <c r="P363" s="4">
        <v>180.7</v>
      </c>
      <c r="Q363" s="4">
        <v>202.7</v>
      </c>
      <c r="R363" s="4">
        <v>180.3</v>
      </c>
      <c r="S363" s="4">
        <v>167</v>
      </c>
      <c r="T363" s="4">
        <v>178.2</v>
      </c>
      <c r="U363" s="4">
        <v>173.5</v>
      </c>
      <c r="V363" s="4">
        <v>182.8</v>
      </c>
      <c r="W363" s="4">
        <v>169.2</v>
      </c>
      <c r="X363" s="4">
        <v>180.8</v>
      </c>
      <c r="Y363" s="4">
        <v>159.80000000000001</v>
      </c>
      <c r="Z363" s="4">
        <v>168.4</v>
      </c>
      <c r="AA363" s="4">
        <v>172.5</v>
      </c>
      <c r="AB363" s="4">
        <v>181.4</v>
      </c>
      <c r="AC363" s="4">
        <v>170</v>
      </c>
      <c r="AD363" s="4">
        <v>176.3</v>
      </c>
    </row>
    <row r="364" spans="1:30" x14ac:dyDescent="0.3">
      <c r="A364" t="s">
        <v>34</v>
      </c>
      <c r="B364">
        <v>2023</v>
      </c>
      <c r="C364" t="s">
        <v>35</v>
      </c>
      <c r="D364" s="4">
        <v>174.4</v>
      </c>
      <c r="E364" s="4">
        <v>207.7</v>
      </c>
      <c r="F364" s="4">
        <v>175.2</v>
      </c>
      <c r="G364" s="4">
        <v>177.3</v>
      </c>
      <c r="H364" s="4">
        <v>179.3</v>
      </c>
      <c r="I364" s="4">
        <v>169.5</v>
      </c>
      <c r="J364" s="4">
        <v>152.69999999999999</v>
      </c>
      <c r="K364" s="4">
        <v>171</v>
      </c>
      <c r="L364" s="4">
        <v>120</v>
      </c>
      <c r="M364" s="4">
        <v>209.7</v>
      </c>
      <c r="N364" s="4">
        <v>172.3</v>
      </c>
      <c r="O364" s="4">
        <v>193</v>
      </c>
      <c r="P364" s="4">
        <v>177</v>
      </c>
      <c r="Q364" s="4">
        <v>199.5</v>
      </c>
      <c r="R364" s="4">
        <v>186.2</v>
      </c>
      <c r="S364" s="4">
        <v>178.7</v>
      </c>
      <c r="T364" s="4">
        <v>185.1</v>
      </c>
      <c r="U364" s="4">
        <v>173.5</v>
      </c>
      <c r="V364" s="4">
        <v>182.1</v>
      </c>
      <c r="W364" s="4">
        <v>174.2</v>
      </c>
      <c r="X364" s="4">
        <v>184.4</v>
      </c>
      <c r="Y364" s="4">
        <v>164.2</v>
      </c>
      <c r="Z364" s="4">
        <v>170.3</v>
      </c>
      <c r="AA364" s="4">
        <v>175</v>
      </c>
      <c r="AB364" s="4">
        <v>181</v>
      </c>
      <c r="AC364" s="4">
        <v>174.1</v>
      </c>
      <c r="AD364" s="4">
        <v>177.2</v>
      </c>
    </row>
    <row r="365" spans="1:30" hidden="1" x14ac:dyDescent="0.3">
      <c r="A365" t="s">
        <v>30</v>
      </c>
      <c r="B365">
        <v>2023</v>
      </c>
      <c r="C365" t="s">
        <v>36</v>
      </c>
      <c r="D365" s="4">
        <v>174.3</v>
      </c>
      <c r="E365" s="4">
        <v>205.2</v>
      </c>
      <c r="F365" s="4">
        <v>173.9</v>
      </c>
      <c r="G365" s="4">
        <v>177</v>
      </c>
      <c r="H365" s="4">
        <v>183.3</v>
      </c>
      <c r="I365" s="4">
        <v>167.2</v>
      </c>
      <c r="J365" s="4">
        <v>140.9</v>
      </c>
      <c r="K365" s="4">
        <v>170.5</v>
      </c>
      <c r="L365" s="4">
        <v>119.1</v>
      </c>
      <c r="M365" s="4">
        <v>212.1</v>
      </c>
      <c r="N365" s="4">
        <v>177.6</v>
      </c>
      <c r="O365" s="4">
        <v>189.9</v>
      </c>
      <c r="P365" s="4">
        <v>174.8</v>
      </c>
      <c r="Q365" s="4">
        <v>198.4</v>
      </c>
      <c r="R365" s="4">
        <v>190</v>
      </c>
      <c r="S365" s="4">
        <v>187</v>
      </c>
      <c r="T365" s="4">
        <v>189.6</v>
      </c>
      <c r="U365" s="4">
        <v>173.5</v>
      </c>
      <c r="V365" s="4">
        <v>181.4</v>
      </c>
      <c r="W365" s="4">
        <v>178.6</v>
      </c>
      <c r="X365" s="4">
        <v>186.6</v>
      </c>
      <c r="Y365" s="4">
        <v>169</v>
      </c>
      <c r="Z365" s="4">
        <v>172.8</v>
      </c>
      <c r="AA365" s="4">
        <v>178.5</v>
      </c>
      <c r="AB365" s="4">
        <v>180.7</v>
      </c>
      <c r="AC365" s="4">
        <v>177.9</v>
      </c>
      <c r="AD365" s="4">
        <v>178</v>
      </c>
    </row>
    <row r="366" spans="1:30" hidden="1" x14ac:dyDescent="0.3">
      <c r="A366" t="s">
        <v>33</v>
      </c>
      <c r="B366">
        <v>2023</v>
      </c>
      <c r="C366" t="s">
        <v>36</v>
      </c>
      <c r="D366" s="4">
        <v>174.7</v>
      </c>
      <c r="E366" s="4">
        <v>212.2</v>
      </c>
      <c r="F366" s="4">
        <v>177.2</v>
      </c>
      <c r="G366" s="4">
        <v>177.9</v>
      </c>
      <c r="H366" s="4">
        <v>172.2</v>
      </c>
      <c r="I366" s="4">
        <v>172.1</v>
      </c>
      <c r="J366" s="4">
        <v>175.9</v>
      </c>
      <c r="K366" s="4">
        <v>172.2</v>
      </c>
      <c r="L366" s="4">
        <v>121.9</v>
      </c>
      <c r="M366" s="4">
        <v>204.8</v>
      </c>
      <c r="N366" s="4">
        <v>164.9</v>
      </c>
      <c r="O366" s="4">
        <v>196.6</v>
      </c>
      <c r="P366" s="4">
        <v>180.8</v>
      </c>
      <c r="Q366" s="4">
        <v>202.7</v>
      </c>
      <c r="R366" s="4">
        <v>180.2</v>
      </c>
      <c r="S366" s="4">
        <v>167</v>
      </c>
      <c r="T366" s="4">
        <v>178.2</v>
      </c>
      <c r="U366" s="4">
        <v>173.5</v>
      </c>
      <c r="V366" s="4">
        <v>182.6</v>
      </c>
      <c r="W366" s="4">
        <v>169.2</v>
      </c>
      <c r="X366" s="4">
        <v>180.8</v>
      </c>
      <c r="Y366" s="4">
        <v>159.80000000000001</v>
      </c>
      <c r="Z366" s="4">
        <v>168.4</v>
      </c>
      <c r="AA366" s="4">
        <v>172.5</v>
      </c>
      <c r="AB366" s="4">
        <v>181.5</v>
      </c>
      <c r="AC366" s="4">
        <v>170</v>
      </c>
      <c r="AD366" s="4">
        <v>176.3</v>
      </c>
    </row>
    <row r="367" spans="1:30" x14ac:dyDescent="0.3">
      <c r="A367" t="s">
        <v>34</v>
      </c>
      <c r="B367">
        <v>2023</v>
      </c>
      <c r="C367" t="s">
        <v>36</v>
      </c>
      <c r="D367" s="4">
        <v>174.4</v>
      </c>
      <c r="E367" s="4">
        <v>207.7</v>
      </c>
      <c r="F367" s="4">
        <v>175.2</v>
      </c>
      <c r="G367" s="4">
        <v>177.3</v>
      </c>
      <c r="H367" s="4">
        <v>179.2</v>
      </c>
      <c r="I367" s="4">
        <v>169.5</v>
      </c>
      <c r="J367" s="4">
        <v>152.80000000000001</v>
      </c>
      <c r="K367" s="4">
        <v>171.1</v>
      </c>
      <c r="L367" s="4">
        <v>120</v>
      </c>
      <c r="M367" s="4">
        <v>209.7</v>
      </c>
      <c r="N367" s="4">
        <v>172.3</v>
      </c>
      <c r="O367" s="4">
        <v>193</v>
      </c>
      <c r="P367" s="4">
        <v>177</v>
      </c>
      <c r="Q367" s="4">
        <v>199.5</v>
      </c>
      <c r="R367" s="4">
        <v>186.1</v>
      </c>
      <c r="S367" s="4">
        <v>178.7</v>
      </c>
      <c r="T367" s="4">
        <v>185.1</v>
      </c>
      <c r="U367" s="4">
        <v>173.5</v>
      </c>
      <c r="V367" s="4">
        <v>181.9</v>
      </c>
      <c r="W367" s="4">
        <v>174.2</v>
      </c>
      <c r="X367" s="4">
        <v>184.4</v>
      </c>
      <c r="Y367" s="4">
        <v>164.2</v>
      </c>
      <c r="Z367" s="4">
        <v>170.3</v>
      </c>
      <c r="AA367" s="4">
        <v>175</v>
      </c>
      <c r="AB367" s="4">
        <v>181</v>
      </c>
      <c r="AC367" s="4">
        <v>174.1</v>
      </c>
      <c r="AD367" s="4">
        <v>177.2</v>
      </c>
    </row>
    <row r="368" spans="1:30" hidden="1" x14ac:dyDescent="0.3">
      <c r="A368" t="s">
        <v>30</v>
      </c>
      <c r="B368">
        <v>2023</v>
      </c>
      <c r="C368" t="s">
        <v>37</v>
      </c>
      <c r="D368" s="4">
        <v>173.3</v>
      </c>
      <c r="E368" s="4">
        <v>206.9</v>
      </c>
      <c r="F368" s="4">
        <v>167.9</v>
      </c>
      <c r="G368" s="4">
        <v>178.2</v>
      </c>
      <c r="H368" s="4">
        <v>178.5</v>
      </c>
      <c r="I368" s="4">
        <v>173.7</v>
      </c>
      <c r="J368" s="4">
        <v>142.80000000000001</v>
      </c>
      <c r="K368" s="4">
        <v>172.8</v>
      </c>
      <c r="L368" s="4">
        <v>120.4</v>
      </c>
      <c r="M368" s="4">
        <v>215.5</v>
      </c>
      <c r="N368" s="4">
        <v>178.2</v>
      </c>
      <c r="O368" s="4">
        <v>190.5</v>
      </c>
      <c r="P368" s="4">
        <v>175.5</v>
      </c>
      <c r="Q368" s="4">
        <v>199.5</v>
      </c>
      <c r="R368" s="4">
        <v>190.7</v>
      </c>
      <c r="S368" s="4">
        <v>187.3</v>
      </c>
      <c r="T368" s="4">
        <v>190.2</v>
      </c>
      <c r="U368" s="4">
        <v>175.2</v>
      </c>
      <c r="V368" s="4">
        <v>181.5</v>
      </c>
      <c r="W368" s="4">
        <v>179.1</v>
      </c>
      <c r="X368" s="4">
        <v>187.2</v>
      </c>
      <c r="Y368" s="4">
        <v>169.4</v>
      </c>
      <c r="Z368" s="4">
        <v>173.2</v>
      </c>
      <c r="AA368" s="4">
        <v>179.4</v>
      </c>
      <c r="AB368" s="4">
        <v>183.8</v>
      </c>
      <c r="AC368" s="4">
        <v>178.9</v>
      </c>
      <c r="AD368" s="4">
        <v>178.8</v>
      </c>
    </row>
    <row r="369" spans="1:30" hidden="1" x14ac:dyDescent="0.3">
      <c r="A369" t="s">
        <v>33</v>
      </c>
      <c r="B369">
        <v>2023</v>
      </c>
      <c r="C369" t="s">
        <v>37</v>
      </c>
      <c r="D369" s="4">
        <v>174.8</v>
      </c>
      <c r="E369" s="4">
        <v>213.7</v>
      </c>
      <c r="F369" s="4">
        <v>172.4</v>
      </c>
      <c r="G369" s="4">
        <v>178.8</v>
      </c>
      <c r="H369" s="4">
        <v>168.7</v>
      </c>
      <c r="I369" s="4">
        <v>179.2</v>
      </c>
      <c r="J369" s="4">
        <v>179.9</v>
      </c>
      <c r="K369" s="4">
        <v>174.7</v>
      </c>
      <c r="L369" s="4">
        <v>123.1</v>
      </c>
      <c r="M369" s="4">
        <v>207.8</v>
      </c>
      <c r="N369" s="4">
        <v>165.5</v>
      </c>
      <c r="O369" s="4">
        <v>197</v>
      </c>
      <c r="P369" s="4">
        <v>182.1</v>
      </c>
      <c r="Q369" s="4">
        <v>203.5</v>
      </c>
      <c r="R369" s="4">
        <v>181</v>
      </c>
      <c r="S369" s="4">
        <v>167.7</v>
      </c>
      <c r="T369" s="4">
        <v>178.9</v>
      </c>
      <c r="U369" s="4">
        <v>175.2</v>
      </c>
      <c r="V369" s="4">
        <v>182.1</v>
      </c>
      <c r="W369" s="4">
        <v>169.6</v>
      </c>
      <c r="X369" s="4">
        <v>181.5</v>
      </c>
      <c r="Y369" s="4">
        <v>160.1</v>
      </c>
      <c r="Z369" s="4">
        <v>168.8</v>
      </c>
      <c r="AA369" s="4">
        <v>174.2</v>
      </c>
      <c r="AB369" s="4">
        <v>184.4</v>
      </c>
      <c r="AC369" s="4">
        <v>170.9</v>
      </c>
      <c r="AD369" s="4">
        <v>177.4</v>
      </c>
    </row>
    <row r="370" spans="1:30" x14ac:dyDescent="0.3">
      <c r="A370" t="s">
        <v>34</v>
      </c>
      <c r="B370">
        <v>2023</v>
      </c>
      <c r="C370" t="s">
        <v>37</v>
      </c>
      <c r="D370" s="4">
        <v>173.8</v>
      </c>
      <c r="E370" s="4">
        <v>209.3</v>
      </c>
      <c r="F370" s="4">
        <v>169.6</v>
      </c>
      <c r="G370" s="4">
        <v>178.4</v>
      </c>
      <c r="H370" s="4">
        <v>174.9</v>
      </c>
      <c r="I370" s="4">
        <v>176.3</v>
      </c>
      <c r="J370" s="4">
        <v>155.4</v>
      </c>
      <c r="K370" s="4">
        <v>173.4</v>
      </c>
      <c r="L370" s="4">
        <v>121.3</v>
      </c>
      <c r="M370" s="4">
        <v>212.9</v>
      </c>
      <c r="N370" s="4">
        <v>172.9</v>
      </c>
      <c r="O370" s="4">
        <v>193.5</v>
      </c>
      <c r="P370" s="4">
        <v>177.9</v>
      </c>
      <c r="Q370" s="4">
        <v>200.6</v>
      </c>
      <c r="R370" s="4">
        <v>186.9</v>
      </c>
      <c r="S370" s="4">
        <v>179.2</v>
      </c>
      <c r="T370" s="4">
        <v>185.7</v>
      </c>
      <c r="U370" s="4">
        <v>175.2</v>
      </c>
      <c r="V370" s="4">
        <v>181.7</v>
      </c>
      <c r="W370" s="4">
        <v>174.6</v>
      </c>
      <c r="X370" s="4">
        <v>185</v>
      </c>
      <c r="Y370" s="4">
        <v>164.5</v>
      </c>
      <c r="Z370" s="4">
        <v>170.7</v>
      </c>
      <c r="AA370" s="4">
        <v>176.4</v>
      </c>
      <c r="AB370" s="4">
        <v>184</v>
      </c>
      <c r="AC370" s="4">
        <v>175</v>
      </c>
      <c r="AD370" s="4">
        <v>178.1</v>
      </c>
    </row>
    <row r="371" spans="1:30" hidden="1" x14ac:dyDescent="0.3">
      <c r="A371" t="s">
        <v>30</v>
      </c>
      <c r="B371">
        <v>2023</v>
      </c>
      <c r="C371" t="s">
        <v>38</v>
      </c>
      <c r="D371" s="4">
        <v>173.2</v>
      </c>
      <c r="E371" s="4">
        <v>211.5</v>
      </c>
      <c r="F371" s="4">
        <v>171</v>
      </c>
      <c r="G371" s="4">
        <v>179.6</v>
      </c>
      <c r="H371" s="4">
        <v>173.3</v>
      </c>
      <c r="I371" s="4">
        <v>169</v>
      </c>
      <c r="J371" s="4">
        <v>148.69999999999999</v>
      </c>
      <c r="K371" s="4">
        <v>174.9</v>
      </c>
      <c r="L371" s="4">
        <v>121.9</v>
      </c>
      <c r="M371" s="4">
        <v>221</v>
      </c>
      <c r="N371" s="4">
        <v>178.7</v>
      </c>
      <c r="O371" s="4">
        <v>191.1</v>
      </c>
      <c r="P371" s="4">
        <v>176.8</v>
      </c>
      <c r="Q371" s="4">
        <v>199.9</v>
      </c>
      <c r="R371" s="4">
        <v>191.2</v>
      </c>
      <c r="S371" s="4">
        <v>187.9</v>
      </c>
      <c r="T371" s="4">
        <v>190.8</v>
      </c>
      <c r="U371" s="4">
        <v>175.6</v>
      </c>
      <c r="V371" s="4">
        <v>182.5</v>
      </c>
      <c r="W371" s="4">
        <v>179.8</v>
      </c>
      <c r="X371" s="4">
        <v>187.8</v>
      </c>
      <c r="Y371" s="4">
        <v>169.7</v>
      </c>
      <c r="Z371" s="4">
        <v>173.8</v>
      </c>
      <c r="AA371" s="4">
        <v>180.3</v>
      </c>
      <c r="AB371" s="4">
        <v>184.9</v>
      </c>
      <c r="AC371" s="4">
        <v>179.5</v>
      </c>
      <c r="AD371" s="4">
        <v>179.8</v>
      </c>
    </row>
    <row r="372" spans="1:30" hidden="1" x14ac:dyDescent="0.3">
      <c r="A372" t="s">
        <v>33</v>
      </c>
      <c r="B372">
        <v>2023</v>
      </c>
      <c r="C372" t="s">
        <v>38</v>
      </c>
      <c r="D372" s="4">
        <v>174.7</v>
      </c>
      <c r="E372" s="4">
        <v>219.4</v>
      </c>
      <c r="F372" s="4">
        <v>176.7</v>
      </c>
      <c r="G372" s="4">
        <v>179.4</v>
      </c>
      <c r="H372" s="4">
        <v>164.4</v>
      </c>
      <c r="I372" s="4">
        <v>175.8</v>
      </c>
      <c r="J372" s="4">
        <v>185</v>
      </c>
      <c r="K372" s="4">
        <v>176.9</v>
      </c>
      <c r="L372" s="4">
        <v>124.2</v>
      </c>
      <c r="M372" s="4">
        <v>211.9</v>
      </c>
      <c r="N372" s="4">
        <v>165.9</v>
      </c>
      <c r="O372" s="4">
        <v>197.7</v>
      </c>
      <c r="P372" s="4">
        <v>183.1</v>
      </c>
      <c r="Q372" s="4">
        <v>204.2</v>
      </c>
      <c r="R372" s="4">
        <v>181.3</v>
      </c>
      <c r="S372" s="4">
        <v>168.1</v>
      </c>
      <c r="T372" s="4">
        <v>179.3</v>
      </c>
      <c r="U372" s="4">
        <v>175.6</v>
      </c>
      <c r="V372" s="4">
        <v>183.4</v>
      </c>
      <c r="W372" s="4">
        <v>170.1</v>
      </c>
      <c r="X372" s="4">
        <v>182.2</v>
      </c>
      <c r="Y372" s="4">
        <v>160.4</v>
      </c>
      <c r="Z372" s="4">
        <v>169.2</v>
      </c>
      <c r="AA372" s="4">
        <v>174.8</v>
      </c>
      <c r="AB372" s="4">
        <v>185.6</v>
      </c>
      <c r="AC372" s="4">
        <v>171.6</v>
      </c>
      <c r="AD372" s="4">
        <v>178.2</v>
      </c>
    </row>
    <row r="373" spans="1:30" x14ac:dyDescent="0.3">
      <c r="A373" t="s">
        <v>34</v>
      </c>
      <c r="B373">
        <v>2023</v>
      </c>
      <c r="C373" t="s">
        <v>38</v>
      </c>
      <c r="D373" s="4">
        <v>173.7</v>
      </c>
      <c r="E373" s="4">
        <v>214.3</v>
      </c>
      <c r="F373" s="4">
        <v>173.2</v>
      </c>
      <c r="G373" s="4">
        <v>179.5</v>
      </c>
      <c r="H373" s="4">
        <v>170</v>
      </c>
      <c r="I373" s="4">
        <v>172.2</v>
      </c>
      <c r="J373" s="4">
        <v>161</v>
      </c>
      <c r="K373" s="4">
        <v>175.6</v>
      </c>
      <c r="L373" s="4">
        <v>122.7</v>
      </c>
      <c r="M373" s="4">
        <v>218</v>
      </c>
      <c r="N373" s="4">
        <v>173.4</v>
      </c>
      <c r="O373" s="4">
        <v>194.2</v>
      </c>
      <c r="P373" s="4">
        <v>179.1</v>
      </c>
      <c r="Q373" s="4">
        <v>201</v>
      </c>
      <c r="R373" s="4">
        <v>187.3</v>
      </c>
      <c r="S373" s="4">
        <v>179.7</v>
      </c>
      <c r="T373" s="4">
        <v>186.2</v>
      </c>
      <c r="U373" s="4">
        <v>175.6</v>
      </c>
      <c r="V373" s="4">
        <v>182.8</v>
      </c>
      <c r="W373" s="4">
        <v>175.2</v>
      </c>
      <c r="X373" s="4">
        <v>185.7</v>
      </c>
      <c r="Y373" s="4">
        <v>164.8</v>
      </c>
      <c r="Z373" s="4">
        <v>171.2</v>
      </c>
      <c r="AA373" s="4">
        <v>177.1</v>
      </c>
      <c r="AB373" s="4">
        <v>185.2</v>
      </c>
      <c r="AC373" s="4">
        <v>175.7</v>
      </c>
      <c r="AD373" s="4">
        <v>179.1</v>
      </c>
    </row>
    <row r="375" spans="1:30" x14ac:dyDescent="0.3">
      <c r="M375" s="4"/>
      <c r="N375" s="4"/>
      <c r="O375" s="4"/>
      <c r="P375" s="4"/>
    </row>
    <row r="376" spans="1:30" x14ac:dyDescent="0.3">
      <c r="M376" s="4"/>
    </row>
  </sheetData>
  <phoneticPr fontId="1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D621-A3BC-48F1-AE08-AD1E5636B7DD}">
  <dimension ref="A1:L373"/>
  <sheetViews>
    <sheetView workbookViewId="0">
      <selection activeCell="H322" sqref="H1:H322"/>
    </sheetView>
  </sheetViews>
  <sheetFormatPr defaultRowHeight="14.4" x14ac:dyDescent="0.3"/>
  <cols>
    <col min="1" max="1" width="11.109375" bestFit="1" customWidth="1"/>
    <col min="2" max="2" width="6.5546875" customWidth="1"/>
    <col min="3" max="3" width="9.77734375" bestFit="1" customWidth="1"/>
    <col min="4" max="4" width="17.33203125" customWidth="1"/>
    <col min="5" max="5" width="8.33203125" customWidth="1"/>
    <col min="6" max="6" width="15" customWidth="1"/>
    <col min="7" max="7" width="11.21875" customWidth="1"/>
    <col min="8" max="8" width="23.44140625" customWidth="1"/>
    <col min="9" max="9" width="22.21875" customWidth="1"/>
    <col min="10" max="10" width="21.21875" customWidth="1"/>
    <col min="11" max="11" width="27.77734375" customWidth="1"/>
    <col min="12" max="12" width="14.6640625" bestFit="1" customWidth="1"/>
    <col min="13" max="13" width="12.6640625" bestFit="1" customWidth="1"/>
    <col min="14" max="14" width="9" bestFit="1" customWidth="1"/>
    <col min="15" max="15" width="21.44140625" bestFit="1" customWidth="1"/>
    <col min="16" max="16" width="20.109375" bestFit="1" customWidth="1"/>
    <col min="17" max="17" width="19" bestFit="1" customWidth="1"/>
    <col min="18" max="18" width="25.5546875" bestFit="1" customWidth="1"/>
  </cols>
  <sheetData>
    <row r="1" spans="1:12" x14ac:dyDescent="0.3">
      <c r="A1" s="11" t="s">
        <v>0</v>
      </c>
      <c r="B1" s="11" t="s">
        <v>1</v>
      </c>
      <c r="C1" s="11" t="s">
        <v>2</v>
      </c>
      <c r="D1" t="s">
        <v>57</v>
      </c>
      <c r="E1" t="s">
        <v>53</v>
      </c>
      <c r="F1" t="s">
        <v>54</v>
      </c>
      <c r="G1" t="s">
        <v>26</v>
      </c>
      <c r="H1" t="s">
        <v>58</v>
      </c>
      <c r="I1" t="s">
        <v>59</v>
      </c>
      <c r="J1" t="s">
        <v>60</v>
      </c>
      <c r="K1" t="s">
        <v>61</v>
      </c>
      <c r="L1" s="14" t="s">
        <v>29</v>
      </c>
    </row>
    <row r="2" spans="1:12" hidden="1" x14ac:dyDescent="0.3">
      <c r="A2" s="1" t="s">
        <v>30</v>
      </c>
      <c r="B2" s="1">
        <v>2013</v>
      </c>
      <c r="C2" s="1" t="s">
        <v>31</v>
      </c>
      <c r="D2">
        <f>SUM(Table13[[#This Row],[Cereals and products]:[Food and beverages]])</f>
        <v>1371.6999999999998</v>
      </c>
      <c r="E2" s="12">
        <v>105.5</v>
      </c>
      <c r="F2" s="12">
        <v>103.3</v>
      </c>
      <c r="G2" s="12">
        <v>103.8</v>
      </c>
      <c r="H2" s="4">
        <f>SUM('Working Data'!X2,'Working Data'!AB2)</f>
        <v>208.7</v>
      </c>
      <c r="I2" s="4">
        <f>SUM('Working Data'!U2,'Working Data'!W2)</f>
        <v>205.1</v>
      </c>
      <c r="J2" s="4">
        <f>SUM('Working Data'!R2,'Working Data'!S2,'Working Data'!T2)</f>
        <v>318.70000000000005</v>
      </c>
      <c r="K2" s="4">
        <f>SUM('Working Data'!AC2,'Working Data'!Z2,'Working Data'!Q2)</f>
        <v>312.5</v>
      </c>
      <c r="L2" s="4">
        <v>105.1</v>
      </c>
    </row>
    <row r="3" spans="1:12" hidden="1" x14ac:dyDescent="0.3">
      <c r="A3" s="2" t="s">
        <v>33</v>
      </c>
      <c r="B3" s="2">
        <v>2013</v>
      </c>
      <c r="C3" s="2" t="s">
        <v>31</v>
      </c>
      <c r="D3">
        <f>SUM(Table13[[#This Row],[Cereals and products]:[Food and beverages]])</f>
        <v>1376.4</v>
      </c>
      <c r="E3" s="13">
        <v>105.4</v>
      </c>
      <c r="F3" s="13">
        <v>103.2</v>
      </c>
      <c r="G3" s="13">
        <v>103.5</v>
      </c>
      <c r="H3" s="4">
        <f>SUM('Working Data'!X3,'Working Data'!AB3)</f>
        <v>208.39999999999998</v>
      </c>
      <c r="I3" s="4">
        <f>SUM('Working Data'!U3,'Working Data'!W3)</f>
        <v>205.1</v>
      </c>
      <c r="J3" s="4">
        <f>SUM('Working Data'!R3,'Working Data'!S3,'Working Data'!T3)</f>
        <v>316.7</v>
      </c>
      <c r="K3" s="4">
        <f>SUM('Working Data'!AC3,'Working Data'!Z3,'Working Data'!Q3)</f>
        <v>311.8</v>
      </c>
      <c r="L3" s="4">
        <v>104</v>
      </c>
    </row>
    <row r="4" spans="1:12" hidden="1" x14ac:dyDescent="0.3">
      <c r="A4" s="1" t="s">
        <v>34</v>
      </c>
      <c r="B4" s="1">
        <v>2013</v>
      </c>
      <c r="C4" s="1" t="s">
        <v>31</v>
      </c>
      <c r="D4">
        <f>SUM(Table13[[#This Row],[Cereals and products]:[Food and beverages]])</f>
        <v>1373.3000000000002</v>
      </c>
      <c r="E4" s="12">
        <v>105.5</v>
      </c>
      <c r="F4" s="12">
        <v>103.2</v>
      </c>
      <c r="G4" s="12">
        <v>103.6</v>
      </c>
      <c r="H4" s="4">
        <f>SUM('Working Data'!X4,'Working Data'!AB4)</f>
        <v>208.5</v>
      </c>
      <c r="I4" s="4">
        <f>SUM('Working Data'!U4,'Working Data'!W4)</f>
        <v>205.1</v>
      </c>
      <c r="J4" s="4">
        <f>SUM('Working Data'!R4,'Working Data'!S4,'Working Data'!T4)</f>
        <v>318</v>
      </c>
      <c r="K4" s="4">
        <f>SUM('Working Data'!AC4,'Working Data'!Z4,'Working Data'!Q4)</f>
        <v>312.10000000000002</v>
      </c>
      <c r="L4" s="4">
        <v>104.6</v>
      </c>
    </row>
    <row r="5" spans="1:12" hidden="1" x14ac:dyDescent="0.3">
      <c r="A5" s="2" t="s">
        <v>30</v>
      </c>
      <c r="B5" s="2">
        <v>2013</v>
      </c>
      <c r="C5" s="2" t="s">
        <v>35</v>
      </c>
      <c r="D5">
        <f>SUM(Table13[[#This Row],[Cereals and products]:[Food and beverages]])</f>
        <v>1380.3999999999999</v>
      </c>
      <c r="E5" s="13">
        <v>106.2</v>
      </c>
      <c r="F5" s="13">
        <v>103.9</v>
      </c>
      <c r="G5" s="13">
        <v>104.1</v>
      </c>
      <c r="H5" s="4">
        <f>SUM('Working Data'!X5,'Working Data'!AB5)</f>
        <v>209</v>
      </c>
      <c r="I5" s="4">
        <f>SUM('Working Data'!U5,'Working Data'!W5)</f>
        <v>205.60000000000002</v>
      </c>
      <c r="J5" s="4">
        <f>SUM('Working Data'!R5,'Working Data'!S5,'Working Data'!T5)</f>
        <v>320.39999999999998</v>
      </c>
      <c r="K5" s="4">
        <f>SUM('Working Data'!AC5,'Working Data'!Z5,'Working Data'!Q5)</f>
        <v>314</v>
      </c>
      <c r="L5" s="4">
        <v>105.8</v>
      </c>
    </row>
    <row r="6" spans="1:12" hidden="1" x14ac:dyDescent="0.3">
      <c r="A6" s="1" t="s">
        <v>33</v>
      </c>
      <c r="B6" s="1">
        <v>2013</v>
      </c>
      <c r="C6" s="1" t="s">
        <v>35</v>
      </c>
      <c r="D6">
        <f>SUM(Table13[[#This Row],[Cereals and products]:[Food and beverages]])</f>
        <v>1390.6000000000001</v>
      </c>
      <c r="E6" s="12">
        <v>105.7</v>
      </c>
      <c r="F6" s="12">
        <v>104.4</v>
      </c>
      <c r="G6" s="12">
        <v>103.7</v>
      </c>
      <c r="H6" s="4">
        <f>SUM('Working Data'!X6,'Working Data'!AB6)</f>
        <v>209</v>
      </c>
      <c r="I6" s="4">
        <f>SUM('Working Data'!U6,'Working Data'!W6)</f>
        <v>205.60000000000002</v>
      </c>
      <c r="J6" s="4">
        <f>SUM('Working Data'!R6,'Working Data'!S6,'Working Data'!T6)</f>
        <v>318.5</v>
      </c>
      <c r="K6" s="4">
        <f>SUM('Working Data'!AC6,'Working Data'!Z6,'Working Data'!Q6)</f>
        <v>313.60000000000002</v>
      </c>
      <c r="L6" s="4">
        <v>104.7</v>
      </c>
    </row>
    <row r="7" spans="1:12" hidden="1" x14ac:dyDescent="0.3">
      <c r="A7" s="2" t="s">
        <v>34</v>
      </c>
      <c r="B7" s="2">
        <v>2013</v>
      </c>
      <c r="C7" s="2" t="s">
        <v>35</v>
      </c>
      <c r="D7">
        <f>SUM(Table13[[#This Row],[Cereals and products]:[Food and beverages]])</f>
        <v>1384.2</v>
      </c>
      <c r="E7" s="13">
        <v>106</v>
      </c>
      <c r="F7" s="13">
        <v>104.2</v>
      </c>
      <c r="G7" s="13">
        <v>103.9</v>
      </c>
      <c r="H7" s="4">
        <f>SUM('Working Data'!X7,'Working Data'!AB7)</f>
        <v>209</v>
      </c>
      <c r="I7" s="4">
        <f>SUM('Working Data'!U7,'Working Data'!W7)</f>
        <v>205.60000000000002</v>
      </c>
      <c r="J7" s="4">
        <f>SUM('Working Data'!R7,'Working Data'!S7,'Working Data'!T7)</f>
        <v>319.7</v>
      </c>
      <c r="K7" s="4">
        <f>SUM('Working Data'!AC7,'Working Data'!Z7,'Working Data'!Q7)</f>
        <v>313.7</v>
      </c>
      <c r="L7" s="4">
        <v>105.3</v>
      </c>
    </row>
    <row r="8" spans="1:12" hidden="1" x14ac:dyDescent="0.3">
      <c r="A8" s="1" t="s">
        <v>30</v>
      </c>
      <c r="B8" s="1">
        <v>2013</v>
      </c>
      <c r="C8" s="1" t="s">
        <v>36</v>
      </c>
      <c r="D8">
        <f>SUM(Table13[[#This Row],[Cereals and products]:[Food and beverages]])</f>
        <v>1382.2</v>
      </c>
      <c r="E8" s="12">
        <v>106.1</v>
      </c>
      <c r="F8" s="12">
        <v>104.6</v>
      </c>
      <c r="G8" s="12">
        <v>104.3</v>
      </c>
      <c r="H8" s="4">
        <f>SUM('Working Data'!X8,'Working Data'!AB8)</f>
        <v>209</v>
      </c>
      <c r="I8" s="4">
        <f>SUM('Working Data'!U8,'Working Data'!W8)</f>
        <v>206</v>
      </c>
      <c r="J8" s="4">
        <f>SUM('Working Data'!R8,'Working Data'!S8,'Working Data'!T8)</f>
        <v>321.89999999999998</v>
      </c>
      <c r="K8" s="4">
        <f>SUM('Working Data'!AC8,'Working Data'!Z8,'Working Data'!Q8)</f>
        <v>315.10000000000002</v>
      </c>
      <c r="L8" s="4">
        <v>106</v>
      </c>
    </row>
    <row r="9" spans="1:12" hidden="1" x14ac:dyDescent="0.3">
      <c r="A9" s="2" t="s">
        <v>33</v>
      </c>
      <c r="B9" s="2">
        <v>2013</v>
      </c>
      <c r="C9" s="2" t="s">
        <v>36</v>
      </c>
      <c r="D9">
        <f>SUM(Table13[[#This Row],[Cereals and products]:[Food and beverages]])</f>
        <v>1386.8</v>
      </c>
      <c r="E9" s="13">
        <v>106</v>
      </c>
      <c r="F9" s="13">
        <v>105.5</v>
      </c>
      <c r="G9" s="13">
        <v>103.8</v>
      </c>
      <c r="H9" s="4">
        <f>SUM('Working Data'!X9,'Working Data'!AB9)</f>
        <v>209.4</v>
      </c>
      <c r="I9" s="4">
        <f>SUM('Working Data'!U9,'Working Data'!W9)</f>
        <v>206.10000000000002</v>
      </c>
      <c r="J9" s="4">
        <f>SUM('Working Data'!R9,'Working Data'!S9,'Working Data'!T9)</f>
        <v>320.2</v>
      </c>
      <c r="K9" s="4">
        <f>SUM('Working Data'!AC9,'Working Data'!Z9,'Working Data'!Q9)</f>
        <v>315.2</v>
      </c>
      <c r="L9" s="4">
        <v>105</v>
      </c>
    </row>
    <row r="10" spans="1:12" hidden="1" x14ac:dyDescent="0.3">
      <c r="A10" s="1" t="s">
        <v>34</v>
      </c>
      <c r="B10" s="1">
        <v>2013</v>
      </c>
      <c r="C10" s="1" t="s">
        <v>36</v>
      </c>
      <c r="D10">
        <f>SUM(Table13[[#This Row],[Cereals and products]:[Food and beverages]])</f>
        <v>1384.0000000000002</v>
      </c>
      <c r="E10" s="12">
        <v>106.1</v>
      </c>
      <c r="F10" s="12">
        <v>105.1</v>
      </c>
      <c r="G10" s="12">
        <v>104</v>
      </c>
      <c r="H10" s="4">
        <f>SUM('Working Data'!X10,'Working Data'!AB10)</f>
        <v>209.2</v>
      </c>
      <c r="I10" s="4">
        <f>SUM('Working Data'!U10,'Working Data'!W10)</f>
        <v>206</v>
      </c>
      <c r="J10" s="4">
        <f>SUM('Working Data'!R10,'Working Data'!S10,'Working Data'!T10)</f>
        <v>321.2</v>
      </c>
      <c r="K10" s="4">
        <f>SUM('Working Data'!AC10,'Working Data'!Z10,'Working Data'!Q10)</f>
        <v>315</v>
      </c>
      <c r="L10" s="4">
        <v>105.5</v>
      </c>
    </row>
    <row r="11" spans="1:12" hidden="1" x14ac:dyDescent="0.3">
      <c r="A11" s="2" t="s">
        <v>30</v>
      </c>
      <c r="B11" s="2">
        <v>2013</v>
      </c>
      <c r="C11" s="2" t="s">
        <v>37</v>
      </c>
      <c r="D11">
        <f>SUM(Table13[[#This Row],[Cereals and products]:[Food and beverages]])</f>
        <v>1385.8</v>
      </c>
      <c r="E11" s="13">
        <v>106.5</v>
      </c>
      <c r="F11" s="13">
        <v>104.4</v>
      </c>
      <c r="G11" s="13">
        <v>104.8</v>
      </c>
      <c r="H11" s="4">
        <f>SUM('Working Data'!X11,'Working Data'!AB11)</f>
        <v>207.8</v>
      </c>
      <c r="I11" s="4">
        <f>SUM('Working Data'!U11,'Working Data'!W11)</f>
        <v>206.6</v>
      </c>
      <c r="J11" s="4">
        <f>SUM('Working Data'!R11,'Working Data'!S11,'Working Data'!T11)</f>
        <v>323.5</v>
      </c>
      <c r="K11" s="4">
        <f>SUM('Working Data'!AC11,'Working Data'!Z11,'Working Data'!Q11)</f>
        <v>316.2</v>
      </c>
      <c r="L11" s="4">
        <v>106.4</v>
      </c>
    </row>
    <row r="12" spans="1:12" hidden="1" x14ac:dyDescent="0.3">
      <c r="A12" s="1" t="s">
        <v>33</v>
      </c>
      <c r="B12" s="1">
        <v>2013</v>
      </c>
      <c r="C12" s="1" t="s">
        <v>37</v>
      </c>
      <c r="D12">
        <f>SUM(Table13[[#This Row],[Cereals and products]:[Food and beverages]])</f>
        <v>1397.6999999999998</v>
      </c>
      <c r="E12" s="12">
        <v>106.4</v>
      </c>
      <c r="F12" s="12">
        <v>105</v>
      </c>
      <c r="G12" s="12">
        <v>105.2</v>
      </c>
      <c r="H12" s="4">
        <f>SUM('Working Data'!X12,'Working Data'!AB12)</f>
        <v>208.9</v>
      </c>
      <c r="I12" s="4">
        <f>SUM('Working Data'!U12,'Working Data'!W12)</f>
        <v>207</v>
      </c>
      <c r="J12" s="4">
        <f>SUM('Working Data'!R12,'Working Data'!S12,'Working Data'!T12)</f>
        <v>322</v>
      </c>
      <c r="K12" s="4">
        <f>SUM('Working Data'!AC12,'Working Data'!Z12,'Working Data'!Q12)</f>
        <v>317.60000000000002</v>
      </c>
      <c r="L12" s="4">
        <v>105.7</v>
      </c>
    </row>
    <row r="13" spans="1:12" hidden="1" x14ac:dyDescent="0.3">
      <c r="A13" s="2" t="s">
        <v>34</v>
      </c>
      <c r="B13" s="2">
        <v>2013</v>
      </c>
      <c r="C13" s="2" t="s">
        <v>37</v>
      </c>
      <c r="D13">
        <f>SUM(Table13[[#This Row],[Cereals and products]:[Food and beverages]])</f>
        <v>1390.2</v>
      </c>
      <c r="E13" s="13">
        <v>106.5</v>
      </c>
      <c r="F13" s="13">
        <v>104.7</v>
      </c>
      <c r="G13" s="13">
        <v>105</v>
      </c>
      <c r="H13" s="4">
        <f>SUM('Working Data'!X13,'Working Data'!AB13)</f>
        <v>208.2</v>
      </c>
      <c r="I13" s="4">
        <f>SUM('Working Data'!U13,'Working Data'!W13)</f>
        <v>206.8</v>
      </c>
      <c r="J13" s="4">
        <f>SUM('Working Data'!R13,'Working Data'!S13,'Working Data'!T13)</f>
        <v>322.89999999999998</v>
      </c>
      <c r="K13" s="4">
        <f>SUM('Working Data'!AC13,'Working Data'!Z13,'Working Data'!Q13)</f>
        <v>316.5</v>
      </c>
      <c r="L13" s="4">
        <v>106.1</v>
      </c>
    </row>
    <row r="14" spans="1:12" hidden="1" x14ac:dyDescent="0.3">
      <c r="A14" s="1" t="s">
        <v>30</v>
      </c>
      <c r="B14" s="1">
        <v>2013</v>
      </c>
      <c r="C14" s="1" t="s">
        <v>38</v>
      </c>
      <c r="D14">
        <f>SUM(Table13[[#This Row],[Cereals and products]:[Food and beverages]])</f>
        <v>1394</v>
      </c>
      <c r="E14" s="12">
        <v>107.5</v>
      </c>
      <c r="F14" s="12">
        <v>104.1</v>
      </c>
      <c r="G14" s="12">
        <v>105.5</v>
      </c>
      <c r="H14" s="4">
        <f>SUM('Working Data'!X14,'Working Data'!AB14)</f>
        <v>207.8</v>
      </c>
      <c r="I14" s="4">
        <f>SUM('Working Data'!U14,'Working Data'!W14)</f>
        <v>207.3</v>
      </c>
      <c r="J14" s="4">
        <f>SUM('Working Data'!R14,'Working Data'!S14,'Working Data'!T14)</f>
        <v>325.29999999999995</v>
      </c>
      <c r="K14" s="4">
        <f>SUM('Working Data'!AC14,'Working Data'!Z14,'Working Data'!Q14)</f>
        <v>317.89999999999998</v>
      </c>
      <c r="L14" s="4">
        <v>107.2</v>
      </c>
    </row>
    <row r="15" spans="1:12" hidden="1" x14ac:dyDescent="0.3">
      <c r="A15" s="2" t="s">
        <v>33</v>
      </c>
      <c r="B15" s="2">
        <v>2013</v>
      </c>
      <c r="C15" s="2" t="s">
        <v>38</v>
      </c>
      <c r="D15">
        <f>SUM(Table13[[#This Row],[Cereals and products]:[Food and beverages]])</f>
        <v>1417.1999999999998</v>
      </c>
      <c r="E15" s="13">
        <v>107.2</v>
      </c>
      <c r="F15" s="13">
        <v>103.9</v>
      </c>
      <c r="G15" s="13">
        <v>105.7</v>
      </c>
      <c r="H15" s="4">
        <f>SUM('Working Data'!X15,'Working Data'!AB15)</f>
        <v>208.8</v>
      </c>
      <c r="I15" s="4">
        <f>SUM('Working Data'!U15,'Working Data'!W15)</f>
        <v>207.6</v>
      </c>
      <c r="J15" s="4">
        <f>SUM('Working Data'!R15,'Working Data'!S15,'Working Data'!T15)</f>
        <v>323.5</v>
      </c>
      <c r="K15" s="4">
        <f>SUM('Working Data'!AC15,'Working Data'!Z15,'Working Data'!Q15)</f>
        <v>319.3</v>
      </c>
      <c r="L15" s="4">
        <v>106.6</v>
      </c>
    </row>
    <row r="16" spans="1:12" hidden="1" x14ac:dyDescent="0.3">
      <c r="A16" s="1" t="s">
        <v>34</v>
      </c>
      <c r="B16" s="1">
        <v>2013</v>
      </c>
      <c r="C16" s="1" t="s">
        <v>38</v>
      </c>
      <c r="D16">
        <f>SUM(Table13[[#This Row],[Cereals and products]:[Food and beverages]])</f>
        <v>1402.1999999999998</v>
      </c>
      <c r="E16" s="12">
        <v>107.4</v>
      </c>
      <c r="F16" s="12">
        <v>104</v>
      </c>
      <c r="G16" s="12">
        <v>105.6</v>
      </c>
      <c r="H16" s="4">
        <f>SUM('Working Data'!X16,'Working Data'!AB16)</f>
        <v>208.2</v>
      </c>
      <c r="I16" s="4">
        <f>SUM('Working Data'!U16,'Working Data'!W16)</f>
        <v>207.4</v>
      </c>
      <c r="J16" s="4">
        <f>SUM('Working Data'!R16,'Working Data'!S16,'Working Data'!T16)</f>
        <v>324.60000000000002</v>
      </c>
      <c r="K16" s="4">
        <f>SUM('Working Data'!AC16,'Working Data'!Z16,'Working Data'!Q16)</f>
        <v>318.2</v>
      </c>
      <c r="L16" s="4">
        <v>106.9</v>
      </c>
    </row>
    <row r="17" spans="1:12" hidden="1" x14ac:dyDescent="0.3">
      <c r="A17" s="2" t="s">
        <v>30</v>
      </c>
      <c r="B17" s="2">
        <v>2013</v>
      </c>
      <c r="C17" s="2" t="s">
        <v>39</v>
      </c>
      <c r="D17">
        <f>SUM(Table13[[#This Row],[Cereals and products]:[Food and beverages]])</f>
        <v>1420</v>
      </c>
      <c r="E17" s="13">
        <v>108.5</v>
      </c>
      <c r="F17" s="13">
        <v>105</v>
      </c>
      <c r="G17" s="13">
        <v>106.5</v>
      </c>
      <c r="H17" s="4">
        <f>SUM('Working Data'!X17,'Working Data'!AB17)</f>
        <v>208.8</v>
      </c>
      <c r="I17" s="4">
        <f>SUM('Working Data'!U17,'Working Data'!W17)</f>
        <v>214.1</v>
      </c>
      <c r="J17" s="4">
        <f>SUM('Working Data'!R17,'Working Data'!S17,'Working Data'!T17)</f>
        <v>328</v>
      </c>
      <c r="K17" s="4">
        <f>SUM('Working Data'!AC17,'Working Data'!Z17,'Working Data'!Q17)</f>
        <v>320.10000000000002</v>
      </c>
      <c r="L17" s="4">
        <v>108.9</v>
      </c>
    </row>
    <row r="18" spans="1:12" hidden="1" x14ac:dyDescent="0.3">
      <c r="A18" s="1" t="s">
        <v>33</v>
      </c>
      <c r="B18" s="1">
        <v>2013</v>
      </c>
      <c r="C18" s="1" t="s">
        <v>39</v>
      </c>
      <c r="D18">
        <f>SUM(Table13[[#This Row],[Cereals and products]:[Food and beverages]])</f>
        <v>1464.6000000000001</v>
      </c>
      <c r="E18" s="12">
        <v>108</v>
      </c>
      <c r="F18" s="12">
        <v>105.2</v>
      </c>
      <c r="G18" s="12">
        <v>108.1</v>
      </c>
      <c r="H18" s="4">
        <f>SUM('Working Data'!X18,'Working Data'!AB18)</f>
        <v>209.8</v>
      </c>
      <c r="I18" s="4">
        <f>SUM('Working Data'!U18,'Working Data'!W18)</f>
        <v>214.3</v>
      </c>
      <c r="J18" s="4">
        <f>SUM('Working Data'!R18,'Working Data'!S18,'Working Data'!T18)</f>
        <v>325.3</v>
      </c>
      <c r="K18" s="4">
        <f>SUM('Working Data'!AC18,'Working Data'!Z18,'Working Data'!Q18)</f>
        <v>322.20000000000005</v>
      </c>
      <c r="L18" s="4">
        <v>109.7</v>
      </c>
    </row>
    <row r="19" spans="1:12" hidden="1" x14ac:dyDescent="0.3">
      <c r="A19" s="2" t="s">
        <v>34</v>
      </c>
      <c r="B19" s="2">
        <v>2013</v>
      </c>
      <c r="C19" s="2" t="s">
        <v>39</v>
      </c>
      <c r="D19">
        <f>SUM(Table13[[#This Row],[Cereals and products]:[Food and beverages]])</f>
        <v>1436</v>
      </c>
      <c r="E19" s="13">
        <v>108.3</v>
      </c>
      <c r="F19" s="13">
        <v>105.1</v>
      </c>
      <c r="G19" s="13">
        <v>107.4</v>
      </c>
      <c r="H19" s="4">
        <f>SUM('Working Data'!X19,'Working Data'!AB19)</f>
        <v>209.2</v>
      </c>
      <c r="I19" s="4">
        <f>SUM('Working Data'!U19,'Working Data'!W19)</f>
        <v>214.2</v>
      </c>
      <c r="J19" s="4">
        <f>SUM('Working Data'!R19,'Working Data'!S19,'Working Data'!T19)</f>
        <v>326.89999999999998</v>
      </c>
      <c r="K19" s="4">
        <f>SUM('Working Data'!AC19,'Working Data'!Z19,'Working Data'!Q19)</f>
        <v>320.7</v>
      </c>
      <c r="L19" s="4">
        <v>109.3</v>
      </c>
    </row>
    <row r="20" spans="1:12" hidden="1" x14ac:dyDescent="0.3">
      <c r="A20" s="1" t="s">
        <v>30</v>
      </c>
      <c r="B20" s="1">
        <v>2013</v>
      </c>
      <c r="C20" s="1" t="s">
        <v>40</v>
      </c>
      <c r="D20">
        <f>SUM(Table13[[#This Row],[Cereals and products]:[Food and beverages]])</f>
        <v>1445.8999999999996</v>
      </c>
      <c r="E20" s="12">
        <v>109.5</v>
      </c>
      <c r="F20" s="12">
        <v>106.8</v>
      </c>
      <c r="G20" s="12">
        <v>107.8</v>
      </c>
      <c r="H20" s="4">
        <f>SUM('Working Data'!X20,'Working Data'!AB20)</f>
        <v>209.4</v>
      </c>
      <c r="I20" s="4">
        <f>SUM('Working Data'!U20,'Working Data'!W20)</f>
        <v>216</v>
      </c>
      <c r="J20" s="4">
        <f>SUM('Working Data'!R20,'Working Data'!S20,'Working Data'!T20)</f>
        <v>330.3</v>
      </c>
      <c r="K20" s="4">
        <f>SUM('Working Data'!AC20,'Working Data'!Z20,'Working Data'!Q20)</f>
        <v>322.7</v>
      </c>
      <c r="L20" s="4">
        <v>110.7</v>
      </c>
    </row>
    <row r="21" spans="1:12" hidden="1" x14ac:dyDescent="0.3">
      <c r="A21" s="2" t="s">
        <v>33</v>
      </c>
      <c r="B21" s="2">
        <v>2013</v>
      </c>
      <c r="C21" s="2" t="s">
        <v>40</v>
      </c>
      <c r="D21">
        <f>SUM(Table13[[#This Row],[Cereals and products]:[Food and beverages]])</f>
        <v>1489.4</v>
      </c>
      <c r="E21" s="13">
        <v>108.6</v>
      </c>
      <c r="F21" s="13">
        <v>107.3</v>
      </c>
      <c r="G21" s="13">
        <v>110.1</v>
      </c>
      <c r="H21" s="4">
        <f>SUM('Working Data'!X21,'Working Data'!AB21)</f>
        <v>210.3</v>
      </c>
      <c r="I21" s="4">
        <f>SUM('Working Data'!U21,'Working Data'!W21)</f>
        <v>215.8</v>
      </c>
      <c r="J21" s="4">
        <f>SUM('Working Data'!R21,'Working Data'!S21,'Working Data'!T21)</f>
        <v>327.10000000000002</v>
      </c>
      <c r="K21" s="4">
        <f>SUM('Working Data'!AC21,'Working Data'!Z21,'Working Data'!Q21)</f>
        <v>324.89999999999998</v>
      </c>
      <c r="L21" s="4">
        <v>111.4</v>
      </c>
    </row>
    <row r="22" spans="1:12" hidden="1" x14ac:dyDescent="0.3">
      <c r="A22" s="1" t="s">
        <v>34</v>
      </c>
      <c r="B22" s="1">
        <v>2013</v>
      </c>
      <c r="C22" s="1" t="s">
        <v>40</v>
      </c>
      <c r="D22">
        <f>SUM(Table13[[#This Row],[Cereals and products]:[Food and beverages]])</f>
        <v>1461.3999999999999</v>
      </c>
      <c r="E22" s="12">
        <v>109.2</v>
      </c>
      <c r="F22" s="12">
        <v>107.1</v>
      </c>
      <c r="G22" s="12">
        <v>109.1</v>
      </c>
      <c r="H22" s="4">
        <f>SUM('Working Data'!X22,'Working Data'!AB22)</f>
        <v>209.8</v>
      </c>
      <c r="I22" s="4">
        <f>SUM('Working Data'!U22,'Working Data'!W22)</f>
        <v>215.9</v>
      </c>
      <c r="J22" s="4">
        <f>SUM('Working Data'!R22,'Working Data'!S22,'Working Data'!T22)</f>
        <v>329</v>
      </c>
      <c r="K22" s="4">
        <f>SUM('Working Data'!AC22,'Working Data'!Z22,'Working Data'!Q22)</f>
        <v>323.3</v>
      </c>
      <c r="L22" s="4">
        <v>111</v>
      </c>
    </row>
    <row r="23" spans="1:12" hidden="1" x14ac:dyDescent="0.3">
      <c r="A23" s="2" t="s">
        <v>30</v>
      </c>
      <c r="B23" s="2">
        <v>2013</v>
      </c>
      <c r="C23" s="2" t="s">
        <v>41</v>
      </c>
      <c r="D23">
        <f>SUM(Table13[[#This Row],[Cereals and products]:[Food and beverages]])</f>
        <v>1462.5</v>
      </c>
      <c r="E23" s="13">
        <v>109.9</v>
      </c>
      <c r="F23" s="13">
        <v>107.8</v>
      </c>
      <c r="G23" s="13">
        <v>108.7</v>
      </c>
      <c r="H23" s="4">
        <f>SUM('Working Data'!X23,'Working Data'!AB23)</f>
        <v>212.5</v>
      </c>
      <c r="I23" s="4">
        <f>SUM('Working Data'!U23,'Working Data'!W23)</f>
        <v>217.60000000000002</v>
      </c>
      <c r="J23" s="4">
        <f>SUM('Working Data'!R23,'Working Data'!S23,'Working Data'!T23)</f>
        <v>332.6</v>
      </c>
      <c r="K23" s="4">
        <f>SUM('Working Data'!AC23,'Working Data'!Z23,'Working Data'!Q23)</f>
        <v>325</v>
      </c>
      <c r="L23" s="4">
        <v>112.1</v>
      </c>
    </row>
    <row r="24" spans="1:12" hidden="1" x14ac:dyDescent="0.3">
      <c r="A24" s="1" t="s">
        <v>33</v>
      </c>
      <c r="B24" s="1">
        <v>2013</v>
      </c>
      <c r="C24" s="1" t="s">
        <v>41</v>
      </c>
      <c r="D24">
        <f>SUM(Table13[[#This Row],[Cereals and products]:[Food and beverages]])</f>
        <v>1506.1000000000001</v>
      </c>
      <c r="E24" s="12">
        <v>109.3</v>
      </c>
      <c r="F24" s="12">
        <v>108.1</v>
      </c>
      <c r="G24" s="12">
        <v>110.8</v>
      </c>
      <c r="H24" s="4">
        <f>SUM('Working Data'!X24,'Working Data'!AB24)</f>
        <v>213.6</v>
      </c>
      <c r="I24" s="4">
        <f>SUM('Working Data'!U24,'Working Data'!W24)</f>
        <v>217.60000000000002</v>
      </c>
      <c r="J24" s="4">
        <f>SUM('Working Data'!R24,'Working Data'!S24,'Working Data'!T24)</f>
        <v>329.09999999999997</v>
      </c>
      <c r="K24" s="4">
        <f>SUM('Working Data'!AC24,'Working Data'!Z24,'Working Data'!Q24)</f>
        <v>327.20000000000005</v>
      </c>
      <c r="L24" s="4">
        <v>112.7</v>
      </c>
    </row>
    <row r="25" spans="1:12" hidden="1" x14ac:dyDescent="0.3">
      <c r="A25" s="2" t="s">
        <v>34</v>
      </c>
      <c r="B25" s="2">
        <v>2013</v>
      </c>
      <c r="C25" s="2" t="s">
        <v>41</v>
      </c>
      <c r="D25">
        <f>SUM(Table13[[#This Row],[Cereals and products]:[Food and beverages]])</f>
        <v>1477.4</v>
      </c>
      <c r="E25" s="13">
        <v>109.7</v>
      </c>
      <c r="F25" s="13">
        <v>108</v>
      </c>
      <c r="G25" s="13">
        <v>109.9</v>
      </c>
      <c r="H25" s="4">
        <f>SUM('Working Data'!X25,'Working Data'!AB25)</f>
        <v>212.9</v>
      </c>
      <c r="I25" s="4">
        <f>SUM('Working Data'!U25,'Working Data'!W25)</f>
        <v>217.60000000000002</v>
      </c>
      <c r="J25" s="4">
        <f>SUM('Working Data'!R25,'Working Data'!S25,'Working Data'!T25)</f>
        <v>331.1</v>
      </c>
      <c r="K25" s="4">
        <f>SUM('Working Data'!AC25,'Working Data'!Z25,'Working Data'!Q25)</f>
        <v>325.7</v>
      </c>
      <c r="L25" s="4">
        <v>112.4</v>
      </c>
    </row>
    <row r="26" spans="1:12" hidden="1" x14ac:dyDescent="0.3">
      <c r="A26" s="1" t="s">
        <v>30</v>
      </c>
      <c r="B26" s="1">
        <v>2013</v>
      </c>
      <c r="C26" s="1" t="s">
        <v>42</v>
      </c>
      <c r="D26">
        <f>SUM(Table13[[#This Row],[Cereals and products]:[Food and beverages]])</f>
        <v>1488.5000000000002</v>
      </c>
      <c r="E26" s="12">
        <v>111.1</v>
      </c>
      <c r="F26" s="12">
        <v>109.3</v>
      </c>
      <c r="G26" s="12">
        <v>109.8</v>
      </c>
      <c r="H26" s="4">
        <f>SUM('Working Data'!X26,'Working Data'!AB26)</f>
        <v>215</v>
      </c>
      <c r="I26" s="4">
        <f>SUM('Working Data'!U26,'Working Data'!W26)</f>
        <v>219.3</v>
      </c>
      <c r="J26" s="4">
        <f>SUM('Working Data'!R26,'Working Data'!S26,'Working Data'!T26)</f>
        <v>336.6</v>
      </c>
      <c r="K26" s="4">
        <f>SUM('Working Data'!AC26,'Working Data'!Z26,'Working Data'!Q26)</f>
        <v>328.1</v>
      </c>
      <c r="L26" s="4">
        <v>114.2</v>
      </c>
    </row>
    <row r="27" spans="1:12" hidden="1" x14ac:dyDescent="0.3">
      <c r="A27" s="2" t="s">
        <v>33</v>
      </c>
      <c r="B27" s="2">
        <v>2013</v>
      </c>
      <c r="C27" s="2" t="s">
        <v>42</v>
      </c>
      <c r="D27">
        <f>SUM(Table13[[#This Row],[Cereals and products]:[Food and beverages]])</f>
        <v>1500.4</v>
      </c>
      <c r="E27" s="13">
        <v>109.5</v>
      </c>
      <c r="F27" s="13">
        <v>110.4</v>
      </c>
      <c r="G27" s="13">
        <v>111.2</v>
      </c>
      <c r="H27" s="4">
        <f>SUM('Working Data'!X27,'Working Data'!AB27)</f>
        <v>214.8</v>
      </c>
      <c r="I27" s="4">
        <f>SUM('Working Data'!U27,'Working Data'!W27)</f>
        <v>219.3</v>
      </c>
      <c r="J27" s="4">
        <f>SUM('Working Data'!R27,'Working Data'!S27,'Working Data'!T27)</f>
        <v>331.5</v>
      </c>
      <c r="K27" s="4">
        <f>SUM('Working Data'!AC27,'Working Data'!Z27,'Working Data'!Q27)</f>
        <v>329.70000000000005</v>
      </c>
      <c r="L27" s="4">
        <v>113.2</v>
      </c>
    </row>
    <row r="28" spans="1:12" hidden="1" x14ac:dyDescent="0.3">
      <c r="A28" s="1" t="s">
        <v>34</v>
      </c>
      <c r="B28" s="1">
        <v>2013</v>
      </c>
      <c r="C28" s="1" t="s">
        <v>42</v>
      </c>
      <c r="D28">
        <f>SUM(Table13[[#This Row],[Cereals and products]:[Food and beverages]])</f>
        <v>1491.6999999999998</v>
      </c>
      <c r="E28" s="12">
        <v>110.5</v>
      </c>
      <c r="F28" s="12">
        <v>109.9</v>
      </c>
      <c r="G28" s="12">
        <v>110.6</v>
      </c>
      <c r="H28" s="4">
        <f>SUM('Working Data'!X28,'Working Data'!AB28)</f>
        <v>214.89999999999998</v>
      </c>
      <c r="I28" s="4">
        <f>SUM('Working Data'!U28,'Working Data'!W28)</f>
        <v>219.3</v>
      </c>
      <c r="J28" s="4">
        <f>SUM('Working Data'!R28,'Working Data'!S28,'Working Data'!T28)</f>
        <v>334.5</v>
      </c>
      <c r="K28" s="4">
        <f>SUM('Working Data'!AC28,'Working Data'!Z28,'Working Data'!Q28)</f>
        <v>328.5</v>
      </c>
      <c r="L28" s="4">
        <v>113.7</v>
      </c>
    </row>
    <row r="29" spans="1:12" hidden="1" x14ac:dyDescent="0.3">
      <c r="A29" s="2" t="s">
        <v>30</v>
      </c>
      <c r="B29" s="2">
        <v>2013</v>
      </c>
      <c r="C29" s="2" t="s">
        <v>43</v>
      </c>
      <c r="D29">
        <f>SUM(Table13[[#This Row],[Cereals and products]:[Food and beverages]])</f>
        <v>1508</v>
      </c>
      <c r="E29" s="13">
        <v>111.6</v>
      </c>
      <c r="F29" s="13">
        <v>109.3</v>
      </c>
      <c r="G29" s="13">
        <v>110.2</v>
      </c>
      <c r="H29" s="4">
        <f>SUM('Working Data'!X29,'Working Data'!AB29)</f>
        <v>216.4</v>
      </c>
      <c r="I29" s="4">
        <f>SUM('Working Data'!U29,'Working Data'!W29)</f>
        <v>220.9</v>
      </c>
      <c r="J29" s="4">
        <f>SUM('Working Data'!R29,'Working Data'!S29,'Working Data'!T29)</f>
        <v>339.29999999999995</v>
      </c>
      <c r="K29" s="4">
        <f>SUM('Working Data'!AC29,'Working Data'!Z29,'Working Data'!Q29)</f>
        <v>329.59999999999997</v>
      </c>
      <c r="L29" s="4">
        <v>115.5</v>
      </c>
    </row>
    <row r="30" spans="1:12" hidden="1" x14ac:dyDescent="0.3">
      <c r="A30" s="1" t="s">
        <v>33</v>
      </c>
      <c r="B30" s="1">
        <v>2013</v>
      </c>
      <c r="C30" s="1" t="s">
        <v>43</v>
      </c>
      <c r="D30">
        <f>SUM(Table13[[#This Row],[Cereals and products]:[Food and beverages]])</f>
        <v>1517.1999999999998</v>
      </c>
      <c r="E30" s="12">
        <v>109.7</v>
      </c>
      <c r="F30" s="12">
        <v>109.7</v>
      </c>
      <c r="G30" s="12">
        <v>111.3</v>
      </c>
      <c r="H30" s="4">
        <f>SUM('Working Data'!X30,'Working Data'!AB30)</f>
        <v>215.5</v>
      </c>
      <c r="I30" s="4">
        <f>SUM('Working Data'!U30,'Working Data'!W30)</f>
        <v>220.7</v>
      </c>
      <c r="J30" s="4">
        <f>SUM('Working Data'!R30,'Working Data'!S30,'Working Data'!T30)</f>
        <v>334.2</v>
      </c>
      <c r="K30" s="4">
        <f>SUM('Working Data'!AC30,'Working Data'!Z30,'Working Data'!Q30)</f>
        <v>330.9</v>
      </c>
      <c r="L30" s="4">
        <v>114</v>
      </c>
    </row>
    <row r="31" spans="1:12" hidden="1" x14ac:dyDescent="0.3">
      <c r="A31" s="2" t="s">
        <v>34</v>
      </c>
      <c r="B31" s="2">
        <v>2013</v>
      </c>
      <c r="C31" s="2" t="s">
        <v>43</v>
      </c>
      <c r="D31">
        <f>SUM(Table13[[#This Row],[Cereals and products]:[Food and beverages]])</f>
        <v>1510.2000000000003</v>
      </c>
      <c r="E31" s="13">
        <v>110.9</v>
      </c>
      <c r="F31" s="13">
        <v>109.5</v>
      </c>
      <c r="G31" s="13">
        <v>110.8</v>
      </c>
      <c r="H31" s="4">
        <f>SUM('Working Data'!X31,'Working Data'!AB31)</f>
        <v>216</v>
      </c>
      <c r="I31" s="4">
        <f>SUM('Working Data'!U31,'Working Data'!W31)</f>
        <v>220.8</v>
      </c>
      <c r="J31" s="4">
        <f>SUM('Working Data'!R31,'Working Data'!S31,'Working Data'!T31)</f>
        <v>337.2</v>
      </c>
      <c r="K31" s="4">
        <f>SUM('Working Data'!AC31,'Working Data'!Z31,'Working Data'!Q31)</f>
        <v>329.8</v>
      </c>
      <c r="L31" s="4">
        <v>114.8</v>
      </c>
    </row>
    <row r="32" spans="1:12" hidden="1" x14ac:dyDescent="0.3">
      <c r="A32" s="1" t="s">
        <v>30</v>
      </c>
      <c r="B32" s="1">
        <v>2013</v>
      </c>
      <c r="C32" s="1" t="s">
        <v>44</v>
      </c>
      <c r="D32">
        <f>SUM(Table13[[#This Row],[Cereals and products]:[Food and beverages]])</f>
        <v>1536.8</v>
      </c>
      <c r="E32" s="12">
        <v>112.6</v>
      </c>
      <c r="F32" s="12">
        <v>109.6</v>
      </c>
      <c r="G32" s="12">
        <v>111</v>
      </c>
      <c r="H32" s="4">
        <f>SUM('Working Data'!X32,'Working Data'!AB32)</f>
        <v>217.9</v>
      </c>
      <c r="I32" s="4">
        <f>SUM('Working Data'!U32,'Working Data'!W32)</f>
        <v>222.39999999999998</v>
      </c>
      <c r="J32" s="4">
        <f>SUM('Working Data'!R32,'Working Data'!S32,'Working Data'!T32)</f>
        <v>342.1</v>
      </c>
      <c r="K32" s="4">
        <f>SUM('Working Data'!AC32,'Working Data'!Z32,'Working Data'!Q32)</f>
        <v>331.3</v>
      </c>
      <c r="L32" s="4">
        <v>117.4</v>
      </c>
    </row>
    <row r="33" spans="1:12" hidden="1" x14ac:dyDescent="0.3">
      <c r="A33" s="2" t="s">
        <v>33</v>
      </c>
      <c r="B33" s="2">
        <v>2013</v>
      </c>
      <c r="C33" s="2" t="s">
        <v>45</v>
      </c>
      <c r="D33">
        <f>SUM(Table13[[#This Row],[Cereals and products]:[Food and beverages]])</f>
        <v>1544.6</v>
      </c>
      <c r="E33" s="13">
        <v>110</v>
      </c>
      <c r="F33" s="13">
        <v>109.5</v>
      </c>
      <c r="G33" s="13">
        <v>111.3</v>
      </c>
      <c r="H33" s="4">
        <f>SUM('Working Data'!X33,'Working Data'!AB33)</f>
        <v>216.5</v>
      </c>
      <c r="I33" s="4">
        <f>SUM('Working Data'!U33,'Working Data'!W33)</f>
        <v>222</v>
      </c>
      <c r="J33" s="4">
        <f>SUM('Working Data'!R33,'Working Data'!S33,'Working Data'!T33)</f>
        <v>336.8</v>
      </c>
      <c r="K33" s="4">
        <f>SUM('Working Data'!AC33,'Working Data'!Z33,'Working Data'!Q33)</f>
        <v>332.2</v>
      </c>
      <c r="L33" s="4">
        <v>115</v>
      </c>
    </row>
    <row r="34" spans="1:12" hidden="1" x14ac:dyDescent="0.3">
      <c r="A34" s="1" t="s">
        <v>34</v>
      </c>
      <c r="B34" s="1">
        <v>2013</v>
      </c>
      <c r="C34" s="1" t="s">
        <v>45</v>
      </c>
      <c r="D34">
        <f>SUM(Table13[[#This Row],[Cereals and products]:[Food and beverages]])</f>
        <v>1538.8</v>
      </c>
      <c r="E34" s="12">
        <v>111.6</v>
      </c>
      <c r="F34" s="12">
        <v>109.5</v>
      </c>
      <c r="G34" s="12">
        <v>111.2</v>
      </c>
      <c r="H34" s="4">
        <f>SUM('Working Data'!X34,'Working Data'!AB34)</f>
        <v>217.39999999999998</v>
      </c>
      <c r="I34" s="4">
        <f>SUM('Working Data'!U34,'Working Data'!W34)</f>
        <v>222.2</v>
      </c>
      <c r="J34" s="4">
        <f>SUM('Working Data'!R34,'Working Data'!S34,'Working Data'!T34)</f>
        <v>339.90000000000003</v>
      </c>
      <c r="K34" s="4">
        <f>SUM('Working Data'!AC34,'Working Data'!Z34,'Working Data'!Q34)</f>
        <v>331.4</v>
      </c>
      <c r="L34" s="4">
        <v>116.3</v>
      </c>
    </row>
    <row r="35" spans="1:12" hidden="1" x14ac:dyDescent="0.3">
      <c r="A35" s="2" t="s">
        <v>30</v>
      </c>
      <c r="B35" s="2">
        <v>2013</v>
      </c>
      <c r="C35" s="2" t="s">
        <v>46</v>
      </c>
      <c r="D35">
        <f>SUM(Table13[[#This Row],[Cereals and products]:[Food and beverages]])</f>
        <v>1509</v>
      </c>
      <c r="E35" s="13">
        <v>112.8</v>
      </c>
      <c r="F35" s="13">
        <v>109.9</v>
      </c>
      <c r="G35" s="13">
        <v>111.6</v>
      </c>
      <c r="H35" s="4">
        <f>SUM('Working Data'!X35,'Working Data'!AB35)</f>
        <v>218.2</v>
      </c>
      <c r="I35" s="4">
        <f>SUM('Working Data'!U35,'Working Data'!W35)</f>
        <v>222.8</v>
      </c>
      <c r="J35" s="4">
        <f>SUM('Working Data'!R35,'Working Data'!S35,'Working Data'!T35)</f>
        <v>345.3</v>
      </c>
      <c r="K35" s="4">
        <f>SUM('Working Data'!AC35,'Working Data'!Z35,'Working Data'!Q35)</f>
        <v>332.9</v>
      </c>
      <c r="L35" s="4">
        <v>115.5</v>
      </c>
    </row>
    <row r="36" spans="1:12" hidden="1" x14ac:dyDescent="0.3">
      <c r="A36" s="1" t="s">
        <v>33</v>
      </c>
      <c r="B36" s="1">
        <v>2013</v>
      </c>
      <c r="C36" s="1" t="s">
        <v>46</v>
      </c>
      <c r="D36">
        <f>SUM(Table13[[#This Row],[Cereals and products]:[Food and beverages]])</f>
        <v>1504.4</v>
      </c>
      <c r="E36" s="12">
        <v>110.4</v>
      </c>
      <c r="F36" s="12">
        <v>109.7</v>
      </c>
      <c r="G36" s="12">
        <v>111.4</v>
      </c>
      <c r="H36" s="4">
        <f>SUM('Working Data'!X36,'Working Data'!AB36)</f>
        <v>216.7</v>
      </c>
      <c r="I36" s="4">
        <f>SUM('Working Data'!U36,'Working Data'!W36)</f>
        <v>222</v>
      </c>
      <c r="J36" s="4">
        <f>SUM('Working Data'!R36,'Working Data'!S36,'Working Data'!T36)</f>
        <v>338.8</v>
      </c>
      <c r="K36" s="4">
        <f>SUM('Working Data'!AC36,'Working Data'!Z36,'Working Data'!Q36)</f>
        <v>333.7</v>
      </c>
      <c r="L36" s="4">
        <v>113.3</v>
      </c>
    </row>
    <row r="37" spans="1:12" hidden="1" x14ac:dyDescent="0.3">
      <c r="A37" s="2" t="s">
        <v>34</v>
      </c>
      <c r="B37" s="2">
        <v>2013</v>
      </c>
      <c r="C37" s="2" t="s">
        <v>46</v>
      </c>
      <c r="D37">
        <f>SUM(Table13[[#This Row],[Cereals and products]:[Food and beverages]])</f>
        <v>1507.3000000000002</v>
      </c>
      <c r="E37" s="13">
        <v>111.9</v>
      </c>
      <c r="F37" s="13">
        <v>109.8</v>
      </c>
      <c r="G37" s="13">
        <v>111.5</v>
      </c>
      <c r="H37" s="4">
        <f>SUM('Working Data'!X37,'Working Data'!AB37)</f>
        <v>217.60000000000002</v>
      </c>
      <c r="I37" s="4">
        <f>SUM('Working Data'!U37,'Working Data'!W37)</f>
        <v>222.4</v>
      </c>
      <c r="J37" s="4">
        <f>SUM('Working Data'!R37,'Working Data'!S37,'Working Data'!T37)</f>
        <v>342.7</v>
      </c>
      <c r="K37" s="4">
        <f>SUM('Working Data'!AC37,'Working Data'!Z37,'Working Data'!Q37)</f>
        <v>333</v>
      </c>
      <c r="L37" s="4">
        <v>114.5</v>
      </c>
    </row>
    <row r="38" spans="1:12" hidden="1" x14ac:dyDescent="0.3">
      <c r="A38" s="1" t="s">
        <v>30</v>
      </c>
      <c r="B38" s="1">
        <v>2014</v>
      </c>
      <c r="C38" s="1" t="s">
        <v>31</v>
      </c>
      <c r="D38">
        <f>SUM(Table13[[#This Row],[Cereals and products]:[Food and beverages]])</f>
        <v>1486.6000000000001</v>
      </c>
      <c r="E38" s="12">
        <v>113</v>
      </c>
      <c r="F38" s="12">
        <v>110.5</v>
      </c>
      <c r="G38" s="12">
        <v>111.8</v>
      </c>
      <c r="H38" s="4">
        <f>SUM('Working Data'!X38,'Working Data'!AB38)</f>
        <v>218.89999999999998</v>
      </c>
      <c r="I38" s="4">
        <f>SUM('Working Data'!U38,'Working Data'!W38)</f>
        <v>224.2</v>
      </c>
      <c r="J38" s="4">
        <f>SUM('Working Data'!R38,'Working Data'!S38,'Working Data'!T38)</f>
        <v>347.2</v>
      </c>
      <c r="K38" s="4">
        <f>SUM('Working Data'!AC38,'Working Data'!Z38,'Working Data'!Q38)</f>
        <v>334.2</v>
      </c>
      <c r="L38" s="4">
        <v>114.2</v>
      </c>
    </row>
    <row r="39" spans="1:12" hidden="1" x14ac:dyDescent="0.3">
      <c r="A39" s="2" t="s">
        <v>33</v>
      </c>
      <c r="B39" s="2">
        <v>2014</v>
      </c>
      <c r="C39" s="2" t="s">
        <v>31</v>
      </c>
      <c r="D39">
        <f>SUM(Table13[[#This Row],[Cereals and products]:[Food and beverages]])</f>
        <v>1484.3</v>
      </c>
      <c r="E39" s="13">
        <v>111</v>
      </c>
      <c r="F39" s="13">
        <v>110.8</v>
      </c>
      <c r="G39" s="13">
        <v>111.5</v>
      </c>
      <c r="H39" s="4">
        <f>SUM('Working Data'!X39,'Working Data'!AB39)</f>
        <v>217.7</v>
      </c>
      <c r="I39" s="4">
        <f>SUM('Working Data'!U39,'Working Data'!W39)</f>
        <v>223.5</v>
      </c>
      <c r="J39" s="4">
        <f>SUM('Working Data'!R39,'Working Data'!S39,'Working Data'!T39)</f>
        <v>340.4</v>
      </c>
      <c r="K39" s="4">
        <f>SUM('Working Data'!AC39,'Working Data'!Z39,'Working Data'!Q39)</f>
        <v>336</v>
      </c>
      <c r="L39" s="4">
        <v>112.9</v>
      </c>
    </row>
    <row r="40" spans="1:12" hidden="1" x14ac:dyDescent="0.3">
      <c r="A40" s="1" t="s">
        <v>34</v>
      </c>
      <c r="B40" s="1">
        <v>2014</v>
      </c>
      <c r="C40" s="1" t="s">
        <v>31</v>
      </c>
      <c r="D40">
        <f>SUM(Table13[[#This Row],[Cereals and products]:[Food and beverages]])</f>
        <v>1485.7999999999997</v>
      </c>
      <c r="E40" s="12">
        <v>112.2</v>
      </c>
      <c r="F40" s="12">
        <v>110.7</v>
      </c>
      <c r="G40" s="12">
        <v>111.6</v>
      </c>
      <c r="H40" s="4">
        <f>SUM('Working Data'!X40,'Working Data'!AB40)</f>
        <v>218.5</v>
      </c>
      <c r="I40" s="4">
        <f>SUM('Working Data'!U40,'Working Data'!W40)</f>
        <v>223.89999999999998</v>
      </c>
      <c r="J40" s="4">
        <f>SUM('Working Data'!R40,'Working Data'!S40,'Working Data'!T40)</f>
        <v>344.4</v>
      </c>
      <c r="K40" s="4">
        <f>SUM('Working Data'!AC40,'Working Data'!Z40,'Working Data'!Q40)</f>
        <v>334.8</v>
      </c>
      <c r="L40" s="4">
        <v>113.6</v>
      </c>
    </row>
    <row r="41" spans="1:12" hidden="1" x14ac:dyDescent="0.3">
      <c r="A41" s="2" t="s">
        <v>30</v>
      </c>
      <c r="B41" s="2">
        <v>2014</v>
      </c>
      <c r="C41" s="2" t="s">
        <v>35</v>
      </c>
      <c r="D41">
        <f>SUM(Table13[[#This Row],[Cereals and products]:[Food and beverages]])</f>
        <v>1482.2</v>
      </c>
      <c r="E41" s="13">
        <v>113.2</v>
      </c>
      <c r="F41" s="13">
        <v>110.8</v>
      </c>
      <c r="G41" s="13">
        <v>112</v>
      </c>
      <c r="H41" s="4">
        <f>SUM('Working Data'!X41,'Working Data'!AB41)</f>
        <v>219.60000000000002</v>
      </c>
      <c r="I41" s="4">
        <f>SUM('Working Data'!U41,'Working Data'!W41)</f>
        <v>225.4</v>
      </c>
      <c r="J41" s="4">
        <f>SUM('Working Data'!R41,'Working Data'!S41,'Working Data'!T41)</f>
        <v>348.3</v>
      </c>
      <c r="K41" s="4">
        <f>SUM('Working Data'!AC41,'Working Data'!Z41,'Working Data'!Q41)</f>
        <v>335</v>
      </c>
      <c r="L41" s="4">
        <v>114</v>
      </c>
    </row>
    <row r="42" spans="1:12" hidden="1" x14ac:dyDescent="0.3">
      <c r="A42" s="1" t="s">
        <v>33</v>
      </c>
      <c r="B42" s="1">
        <v>2014</v>
      </c>
      <c r="C42" s="1" t="s">
        <v>35</v>
      </c>
      <c r="D42">
        <f>SUM(Table13[[#This Row],[Cereals and products]:[Food and beverages]])</f>
        <v>1476</v>
      </c>
      <c r="E42" s="12">
        <v>111.1</v>
      </c>
      <c r="F42" s="12">
        <v>111.3</v>
      </c>
      <c r="G42" s="12">
        <v>111.6</v>
      </c>
      <c r="H42" s="4">
        <f>SUM('Working Data'!X42,'Working Data'!AB42)</f>
        <v>219.10000000000002</v>
      </c>
      <c r="I42" s="4">
        <f>SUM('Working Data'!U42,'Working Data'!W42)</f>
        <v>225.1</v>
      </c>
      <c r="J42" s="4">
        <f>SUM('Working Data'!R42,'Working Data'!S42,'Working Data'!T42)</f>
        <v>341.7</v>
      </c>
      <c r="K42" s="4">
        <f>SUM('Working Data'!AC42,'Working Data'!Z42,'Working Data'!Q42)</f>
        <v>337.5</v>
      </c>
      <c r="L42" s="4">
        <v>113.1</v>
      </c>
    </row>
    <row r="43" spans="1:12" hidden="1" x14ac:dyDescent="0.3">
      <c r="A43" s="2" t="s">
        <v>34</v>
      </c>
      <c r="B43" s="2">
        <v>2014</v>
      </c>
      <c r="C43" s="2" t="s">
        <v>35</v>
      </c>
      <c r="D43">
        <f>SUM(Table13[[#This Row],[Cereals and products]:[Food and beverages]])</f>
        <v>1480.1</v>
      </c>
      <c r="E43" s="13">
        <v>112.4</v>
      </c>
      <c r="F43" s="13">
        <v>111.1</v>
      </c>
      <c r="G43" s="13">
        <v>111.8</v>
      </c>
      <c r="H43" s="4">
        <f>SUM('Working Data'!X43,'Working Data'!AB43)</f>
        <v>219.4</v>
      </c>
      <c r="I43" s="4">
        <f>SUM('Working Data'!U43,'Working Data'!W43)</f>
        <v>225.3</v>
      </c>
      <c r="J43" s="4">
        <f>SUM('Working Data'!R43,'Working Data'!S43,'Working Data'!T43)</f>
        <v>345.6</v>
      </c>
      <c r="K43" s="4">
        <f>SUM('Working Data'!AC43,'Working Data'!Z43,'Working Data'!Q43)</f>
        <v>335.7</v>
      </c>
      <c r="L43" s="4">
        <v>113.6</v>
      </c>
    </row>
    <row r="44" spans="1:12" hidden="1" x14ac:dyDescent="0.3">
      <c r="A44" s="1" t="s">
        <v>30</v>
      </c>
      <c r="B44" s="1">
        <v>2014</v>
      </c>
      <c r="C44" s="1" t="s">
        <v>36</v>
      </c>
      <c r="D44">
        <f>SUM(Table13[[#This Row],[Cereals and products]:[Food and beverages]])</f>
        <v>1491.4</v>
      </c>
      <c r="E44" s="12">
        <v>113.4</v>
      </c>
      <c r="F44" s="12">
        <v>111.2</v>
      </c>
      <c r="G44" s="12">
        <v>112.4</v>
      </c>
      <c r="H44" s="4">
        <f>SUM('Working Data'!X44,'Working Data'!AB44)</f>
        <v>220.3</v>
      </c>
      <c r="I44" s="4">
        <f>SUM('Working Data'!U44,'Working Data'!W44)</f>
        <v>226.60000000000002</v>
      </c>
      <c r="J44" s="4">
        <f>SUM('Working Data'!R44,'Working Data'!S44,'Working Data'!T44)</f>
        <v>349.6</v>
      </c>
      <c r="K44" s="4">
        <f>SUM('Working Data'!AC44,'Working Data'!Z44,'Working Data'!Q44)</f>
        <v>336.1</v>
      </c>
      <c r="L44" s="4">
        <v>114.6</v>
      </c>
    </row>
    <row r="45" spans="1:12" hidden="1" x14ac:dyDescent="0.3">
      <c r="A45" s="2" t="s">
        <v>33</v>
      </c>
      <c r="B45" s="2">
        <v>2014</v>
      </c>
      <c r="C45" s="2" t="s">
        <v>36</v>
      </c>
      <c r="D45">
        <f>SUM(Table13[[#This Row],[Cereals and products]:[Food and beverages]])</f>
        <v>1483</v>
      </c>
      <c r="E45" s="13">
        <v>110.9</v>
      </c>
      <c r="F45" s="13">
        <v>111.6</v>
      </c>
      <c r="G45" s="13">
        <v>111.8</v>
      </c>
      <c r="H45" s="4">
        <f>SUM('Working Data'!X45,'Working Data'!AB45)</f>
        <v>220</v>
      </c>
      <c r="I45" s="4">
        <f>SUM('Working Data'!U45,'Working Data'!W45)</f>
        <v>226.2</v>
      </c>
      <c r="J45" s="4">
        <f>SUM('Working Data'!R45,'Working Data'!S45,'Working Data'!T45)</f>
        <v>343.09999999999997</v>
      </c>
      <c r="K45" s="4">
        <f>SUM('Working Data'!AC45,'Working Data'!Z45,'Working Data'!Q45)</f>
        <v>339</v>
      </c>
      <c r="L45" s="4">
        <v>113.7</v>
      </c>
    </row>
    <row r="46" spans="1:12" hidden="1" x14ac:dyDescent="0.3">
      <c r="A46" s="1" t="s">
        <v>34</v>
      </c>
      <c r="B46" s="1">
        <v>2014</v>
      </c>
      <c r="C46" s="1" t="s">
        <v>36</v>
      </c>
      <c r="D46">
        <f>SUM(Table13[[#This Row],[Cereals and products]:[Food and beverages]])</f>
        <v>1488.2999999999997</v>
      </c>
      <c r="E46" s="12">
        <v>112.5</v>
      </c>
      <c r="F46" s="12">
        <v>111.4</v>
      </c>
      <c r="G46" s="12">
        <v>112</v>
      </c>
      <c r="H46" s="4">
        <f>SUM('Working Data'!X46,'Working Data'!AB46)</f>
        <v>220.2</v>
      </c>
      <c r="I46" s="4">
        <f>SUM('Working Data'!U46,'Working Data'!W46)</f>
        <v>226.4</v>
      </c>
      <c r="J46" s="4">
        <f>SUM('Working Data'!R46,'Working Data'!S46,'Working Data'!T46)</f>
        <v>346.9</v>
      </c>
      <c r="K46" s="4">
        <f>SUM('Working Data'!AC46,'Working Data'!Z46,'Working Data'!Q46)</f>
        <v>337.09999999999997</v>
      </c>
      <c r="L46" s="4">
        <v>114.2</v>
      </c>
    </row>
    <row r="47" spans="1:12" hidden="1" x14ac:dyDescent="0.3">
      <c r="A47" s="2" t="s">
        <v>30</v>
      </c>
      <c r="B47" s="2">
        <v>2014</v>
      </c>
      <c r="C47" s="2" t="s">
        <v>37</v>
      </c>
      <c r="D47">
        <f>SUM(Table13[[#This Row],[Cereals and products]:[Food and beverages]])</f>
        <v>1504.1000000000001</v>
      </c>
      <c r="E47" s="13">
        <v>113.4</v>
      </c>
      <c r="F47" s="13">
        <v>111.2</v>
      </c>
      <c r="G47" s="13">
        <v>113</v>
      </c>
      <c r="H47" s="4">
        <f>SUM('Working Data'!X47,'Working Data'!AB47)</f>
        <v>220.7</v>
      </c>
      <c r="I47" s="4">
        <f>SUM('Working Data'!U47,'Working Data'!W47)</f>
        <v>227.60000000000002</v>
      </c>
      <c r="J47" s="4">
        <f>SUM('Working Data'!R47,'Working Data'!S47,'Working Data'!T47)</f>
        <v>352</v>
      </c>
      <c r="K47" s="4">
        <f>SUM('Working Data'!AC47,'Working Data'!Z47,'Working Data'!Q47)</f>
        <v>337.4</v>
      </c>
      <c r="L47" s="4">
        <v>115.4</v>
      </c>
    </row>
    <row r="48" spans="1:12" hidden="1" x14ac:dyDescent="0.3">
      <c r="A48" s="1" t="s">
        <v>33</v>
      </c>
      <c r="B48" s="1">
        <v>2014</v>
      </c>
      <c r="C48" s="1" t="s">
        <v>37</v>
      </c>
      <c r="D48">
        <f>SUM(Table13[[#This Row],[Cereals and products]:[Food and beverages]])</f>
        <v>1504.0000000000002</v>
      </c>
      <c r="E48" s="12">
        <v>110.9</v>
      </c>
      <c r="F48" s="12">
        <v>111.2</v>
      </c>
      <c r="G48" s="12">
        <v>112.5</v>
      </c>
      <c r="H48" s="4">
        <f>SUM('Working Data'!X48,'Working Data'!AB48)</f>
        <v>220.1</v>
      </c>
      <c r="I48" s="4">
        <f>SUM('Working Data'!U48,'Working Data'!W48)</f>
        <v>227.3</v>
      </c>
      <c r="J48" s="4">
        <f>SUM('Working Data'!R48,'Working Data'!S48,'Working Data'!T48)</f>
        <v>344.5</v>
      </c>
      <c r="K48" s="4">
        <f>SUM('Working Data'!AC48,'Working Data'!Z48,'Working Data'!Q48)</f>
        <v>340.20000000000005</v>
      </c>
      <c r="L48" s="4">
        <v>114.7</v>
      </c>
    </row>
    <row r="49" spans="1:12" hidden="1" x14ac:dyDescent="0.3">
      <c r="A49" s="2" t="s">
        <v>34</v>
      </c>
      <c r="B49" s="2">
        <v>2014</v>
      </c>
      <c r="C49" s="2" t="s">
        <v>37</v>
      </c>
      <c r="D49">
        <f>SUM(Table13[[#This Row],[Cereals and products]:[Food and beverages]])</f>
        <v>1504.1</v>
      </c>
      <c r="E49" s="13">
        <v>112.5</v>
      </c>
      <c r="F49" s="13">
        <v>111.2</v>
      </c>
      <c r="G49" s="13">
        <v>112.7</v>
      </c>
      <c r="H49" s="4">
        <f>SUM('Working Data'!X49,'Working Data'!AB49)</f>
        <v>220.5</v>
      </c>
      <c r="I49" s="4">
        <f>SUM('Working Data'!U49,'Working Data'!W49)</f>
        <v>227.5</v>
      </c>
      <c r="J49" s="4">
        <f>SUM('Working Data'!R49,'Working Data'!S49,'Working Data'!T49)</f>
        <v>349</v>
      </c>
      <c r="K49" s="4">
        <f>SUM('Working Data'!AC49,'Working Data'!Z49,'Working Data'!Q49)</f>
        <v>338.4</v>
      </c>
      <c r="L49" s="4">
        <v>115.1</v>
      </c>
    </row>
    <row r="50" spans="1:12" hidden="1" x14ac:dyDescent="0.3">
      <c r="A50" s="1" t="s">
        <v>30</v>
      </c>
      <c r="B50" s="1">
        <v>2014</v>
      </c>
      <c r="C50" s="1" t="s">
        <v>38</v>
      </c>
      <c r="D50">
        <f>SUM(Table13[[#This Row],[Cereals and products]:[Food and beverages]])</f>
        <v>1513.8999999999999</v>
      </c>
      <c r="E50" s="12">
        <v>113.4</v>
      </c>
      <c r="F50" s="12">
        <v>111.4</v>
      </c>
      <c r="G50" s="12">
        <v>113.1</v>
      </c>
      <c r="H50" s="4">
        <f>SUM('Working Data'!X50,'Working Data'!AB50)</f>
        <v>221</v>
      </c>
      <c r="I50" s="4">
        <f>SUM('Working Data'!U50,'Working Data'!W50)</f>
        <v>228.39999999999998</v>
      </c>
      <c r="J50" s="4">
        <f>SUM('Working Data'!R50,'Working Data'!S50,'Working Data'!T50)</f>
        <v>354</v>
      </c>
      <c r="K50" s="4">
        <f>SUM('Working Data'!AC50,'Working Data'!Z50,'Working Data'!Q50)</f>
        <v>339</v>
      </c>
      <c r="L50" s="4">
        <v>116</v>
      </c>
    </row>
    <row r="51" spans="1:12" hidden="1" x14ac:dyDescent="0.3">
      <c r="A51" s="2" t="s">
        <v>33</v>
      </c>
      <c r="B51" s="2">
        <v>2014</v>
      </c>
      <c r="C51" s="2" t="s">
        <v>38</v>
      </c>
      <c r="D51">
        <f>SUM(Table13[[#This Row],[Cereals and products]:[Food and beverages]])</f>
        <v>1525.3000000000002</v>
      </c>
      <c r="E51" s="13">
        <v>111.1</v>
      </c>
      <c r="F51" s="13">
        <v>111.3</v>
      </c>
      <c r="G51" s="13">
        <v>112.9</v>
      </c>
      <c r="H51" s="4">
        <f>SUM('Working Data'!X51,'Working Data'!AB51)</f>
        <v>220.5</v>
      </c>
      <c r="I51" s="4">
        <f>SUM('Working Data'!U51,'Working Data'!W51)</f>
        <v>228.39999999999998</v>
      </c>
      <c r="J51" s="4">
        <f>SUM('Working Data'!R51,'Working Data'!S51,'Working Data'!T51)</f>
        <v>345.9</v>
      </c>
      <c r="K51" s="4">
        <f>SUM('Working Data'!AC51,'Working Data'!Z51,'Working Data'!Q51)</f>
        <v>341.5</v>
      </c>
      <c r="L51" s="4">
        <v>115.6</v>
      </c>
    </row>
    <row r="52" spans="1:12" hidden="1" x14ac:dyDescent="0.3">
      <c r="A52" s="1" t="s">
        <v>34</v>
      </c>
      <c r="B52" s="1">
        <v>2014</v>
      </c>
      <c r="C52" s="1" t="s">
        <v>38</v>
      </c>
      <c r="D52">
        <f>SUM(Table13[[#This Row],[Cereals and products]:[Food and beverages]])</f>
        <v>1518.5000000000005</v>
      </c>
      <c r="E52" s="12">
        <v>112.5</v>
      </c>
      <c r="F52" s="12">
        <v>111.3</v>
      </c>
      <c r="G52" s="12">
        <v>113</v>
      </c>
      <c r="H52" s="4">
        <f>SUM('Working Data'!X52,'Working Data'!AB52)</f>
        <v>220.89999999999998</v>
      </c>
      <c r="I52" s="4">
        <f>SUM('Working Data'!U52,'Working Data'!W52)</f>
        <v>228.39999999999998</v>
      </c>
      <c r="J52" s="4">
        <f>SUM('Working Data'!R52,'Working Data'!S52,'Working Data'!T52)</f>
        <v>350.79999999999995</v>
      </c>
      <c r="K52" s="4">
        <f>SUM('Working Data'!AC52,'Working Data'!Z52,'Working Data'!Q52)</f>
        <v>339.8</v>
      </c>
      <c r="L52" s="4">
        <v>115.8</v>
      </c>
    </row>
    <row r="53" spans="1:12" hidden="1" x14ac:dyDescent="0.3">
      <c r="A53" s="2" t="s">
        <v>30</v>
      </c>
      <c r="B53" s="2">
        <v>2014</v>
      </c>
      <c r="C53" s="2" t="s">
        <v>39</v>
      </c>
      <c r="D53">
        <f>SUM(Table13[[#This Row],[Cereals and products]:[Food and beverages]])</f>
        <v>1525.6999999999998</v>
      </c>
      <c r="E53" s="13">
        <v>114.4</v>
      </c>
      <c r="F53" s="13">
        <v>112.2</v>
      </c>
      <c r="G53" s="13">
        <v>114.3</v>
      </c>
      <c r="H53" s="4">
        <f>SUM('Working Data'!X53,'Working Data'!AB53)</f>
        <v>220.8</v>
      </c>
      <c r="I53" s="4">
        <f>SUM('Working Data'!U53,'Working Data'!W53)</f>
        <v>228.8</v>
      </c>
      <c r="J53" s="4">
        <f>SUM('Working Data'!R53,'Working Data'!S53,'Working Data'!T53)</f>
        <v>356.3</v>
      </c>
      <c r="K53" s="4">
        <f>SUM('Working Data'!AC53,'Working Data'!Z53,'Working Data'!Q53)</f>
        <v>341</v>
      </c>
      <c r="L53" s="4">
        <v>117</v>
      </c>
    </row>
    <row r="54" spans="1:12" hidden="1" x14ac:dyDescent="0.3">
      <c r="A54" s="1" t="s">
        <v>33</v>
      </c>
      <c r="B54" s="1">
        <v>2014</v>
      </c>
      <c r="C54" s="1" t="s">
        <v>39</v>
      </c>
      <c r="D54">
        <f>SUM(Table13[[#This Row],[Cereals and products]:[Food and beverages]])</f>
        <v>1547</v>
      </c>
      <c r="E54" s="12">
        <v>111.2</v>
      </c>
      <c r="F54" s="12">
        <v>111.5</v>
      </c>
      <c r="G54" s="12">
        <v>115.1</v>
      </c>
      <c r="H54" s="4">
        <f>SUM('Working Data'!X54,'Working Data'!AB54)</f>
        <v>220.10000000000002</v>
      </c>
      <c r="I54" s="4">
        <f>SUM('Working Data'!U54,'Working Data'!W54)</f>
        <v>228.2</v>
      </c>
      <c r="J54" s="4">
        <f>SUM('Working Data'!R54,'Working Data'!S54,'Working Data'!T54)</f>
        <v>347.3</v>
      </c>
      <c r="K54" s="4">
        <f>SUM('Working Data'!AC54,'Working Data'!Z54,'Working Data'!Q54)</f>
        <v>343</v>
      </c>
      <c r="L54" s="4">
        <v>116.4</v>
      </c>
    </row>
    <row r="55" spans="1:12" hidden="1" x14ac:dyDescent="0.3">
      <c r="A55" s="2" t="s">
        <v>34</v>
      </c>
      <c r="B55" s="2">
        <v>2014</v>
      </c>
      <c r="C55" s="2" t="s">
        <v>39</v>
      </c>
      <c r="D55">
        <f>SUM(Table13[[#This Row],[Cereals and products]:[Food and beverages]])</f>
        <v>1533.7000000000003</v>
      </c>
      <c r="E55" s="13">
        <v>113.2</v>
      </c>
      <c r="F55" s="13">
        <v>111.8</v>
      </c>
      <c r="G55" s="13">
        <v>114.8</v>
      </c>
      <c r="H55" s="4">
        <f>SUM('Working Data'!X55,'Working Data'!AB55)</f>
        <v>220.6</v>
      </c>
      <c r="I55" s="4">
        <f>SUM('Working Data'!U55,'Working Data'!W55)</f>
        <v>228.5</v>
      </c>
      <c r="J55" s="4">
        <f>SUM('Working Data'!R55,'Working Data'!S55,'Working Data'!T55)</f>
        <v>352.7</v>
      </c>
      <c r="K55" s="4">
        <f>SUM('Working Data'!AC55,'Working Data'!Z55,'Working Data'!Q55)</f>
        <v>341.7</v>
      </c>
      <c r="L55" s="4">
        <v>116.7</v>
      </c>
    </row>
    <row r="56" spans="1:12" hidden="1" x14ac:dyDescent="0.3">
      <c r="A56" s="1" t="s">
        <v>30</v>
      </c>
      <c r="B56" s="1">
        <v>2014</v>
      </c>
      <c r="C56" s="1" t="s">
        <v>40</v>
      </c>
      <c r="D56">
        <f>SUM(Table13[[#This Row],[Cereals and products]:[Food and beverages]])</f>
        <v>1563.2</v>
      </c>
      <c r="E56" s="12">
        <v>115.3</v>
      </c>
      <c r="F56" s="12">
        <v>113.2</v>
      </c>
      <c r="G56" s="12">
        <v>115.5</v>
      </c>
      <c r="H56" s="4">
        <f>SUM('Working Data'!X56,'Working Data'!AB56)</f>
        <v>222.2</v>
      </c>
      <c r="I56" s="4">
        <f>SUM('Working Data'!U56,'Working Data'!W56)</f>
        <v>230.2</v>
      </c>
      <c r="J56" s="4">
        <f>SUM('Working Data'!R56,'Working Data'!S56,'Working Data'!T56)</f>
        <v>359.3</v>
      </c>
      <c r="K56" s="4">
        <f>SUM('Working Data'!AC56,'Working Data'!Z56,'Working Data'!Q56)</f>
        <v>342.9</v>
      </c>
      <c r="L56" s="4">
        <v>119.5</v>
      </c>
    </row>
    <row r="57" spans="1:12" hidden="1" x14ac:dyDescent="0.3">
      <c r="A57" s="2" t="s">
        <v>33</v>
      </c>
      <c r="B57" s="2">
        <v>2014</v>
      </c>
      <c r="C57" s="2" t="s">
        <v>40</v>
      </c>
      <c r="D57">
        <f>SUM(Table13[[#This Row],[Cereals and products]:[Food and beverages]])</f>
        <v>1599.5</v>
      </c>
      <c r="E57" s="13">
        <v>111.6</v>
      </c>
      <c r="F57" s="13">
        <v>113</v>
      </c>
      <c r="G57" s="13">
        <v>117.8</v>
      </c>
      <c r="H57" s="4">
        <f>SUM('Working Data'!X57,'Working Data'!AB57)</f>
        <v>221.2</v>
      </c>
      <c r="I57" s="4">
        <f>SUM('Working Data'!U57,'Working Data'!W57)</f>
        <v>229.7</v>
      </c>
      <c r="J57" s="4">
        <f>SUM('Working Data'!R57,'Working Data'!S57,'Working Data'!T57)</f>
        <v>349</v>
      </c>
      <c r="K57" s="4">
        <f>SUM('Working Data'!AC57,'Working Data'!Z57,'Working Data'!Q57)</f>
        <v>346.9</v>
      </c>
      <c r="L57" s="4">
        <v>118.9</v>
      </c>
    </row>
    <row r="58" spans="1:12" hidden="1" x14ac:dyDescent="0.3">
      <c r="A58" s="1" t="s">
        <v>34</v>
      </c>
      <c r="B58" s="1">
        <v>2014</v>
      </c>
      <c r="C58" s="1" t="s">
        <v>40</v>
      </c>
      <c r="D58">
        <f>SUM(Table13[[#This Row],[Cereals and products]:[Food and beverages]])</f>
        <v>1576.3</v>
      </c>
      <c r="E58" s="12">
        <v>113.9</v>
      </c>
      <c r="F58" s="12">
        <v>113.1</v>
      </c>
      <c r="G58" s="12">
        <v>116.8</v>
      </c>
      <c r="H58" s="4">
        <f>SUM('Working Data'!X58,'Working Data'!AB58)</f>
        <v>221.9</v>
      </c>
      <c r="I58" s="4">
        <f>SUM('Working Data'!U58,'Working Data'!W58)</f>
        <v>230</v>
      </c>
      <c r="J58" s="4">
        <f>SUM('Working Data'!R58,'Working Data'!S58,'Working Data'!T58)</f>
        <v>355</v>
      </c>
      <c r="K58" s="4">
        <f>SUM('Working Data'!AC58,'Working Data'!Z58,'Working Data'!Q58)</f>
        <v>344.2</v>
      </c>
      <c r="L58" s="4">
        <v>119.2</v>
      </c>
    </row>
    <row r="59" spans="1:12" hidden="1" x14ac:dyDescent="0.3">
      <c r="A59" s="2" t="s">
        <v>30</v>
      </c>
      <c r="B59" s="2">
        <v>2014</v>
      </c>
      <c r="C59" s="2" t="s">
        <v>41</v>
      </c>
      <c r="D59">
        <f>SUM(Table13[[#This Row],[Cereals and products]:[Food and beverages]])</f>
        <v>1582.2999999999997</v>
      </c>
      <c r="E59" s="13">
        <v>115.4</v>
      </c>
      <c r="F59" s="13">
        <v>113.2</v>
      </c>
      <c r="G59" s="13">
        <v>116.2</v>
      </c>
      <c r="H59" s="4">
        <f>SUM('Working Data'!X59,'Working Data'!AB59)</f>
        <v>223.4</v>
      </c>
      <c r="I59" s="4">
        <f>SUM('Working Data'!U59,'Working Data'!W59)</f>
        <v>231.4</v>
      </c>
      <c r="J59" s="4">
        <f>SUM('Working Data'!R59,'Working Data'!S59,'Working Data'!T59)</f>
        <v>360.4</v>
      </c>
      <c r="K59" s="4">
        <f>SUM('Working Data'!AC59,'Working Data'!Z59,'Working Data'!Q59)</f>
        <v>344.5</v>
      </c>
      <c r="L59" s="4">
        <v>120.7</v>
      </c>
    </row>
    <row r="60" spans="1:12" hidden="1" x14ac:dyDescent="0.3">
      <c r="A60" s="1" t="s">
        <v>33</v>
      </c>
      <c r="B60" s="1">
        <v>2014</v>
      </c>
      <c r="C60" s="1" t="s">
        <v>41</v>
      </c>
      <c r="D60">
        <f>SUM(Table13[[#This Row],[Cereals and products]:[Food and beverages]])</f>
        <v>1617</v>
      </c>
      <c r="E60" s="12">
        <v>111.8</v>
      </c>
      <c r="F60" s="12">
        <v>112.5</v>
      </c>
      <c r="G60" s="12">
        <v>119.2</v>
      </c>
      <c r="H60" s="4">
        <f>SUM('Working Data'!X60,'Working Data'!AB60)</f>
        <v>222.7</v>
      </c>
      <c r="I60" s="4">
        <f>SUM('Working Data'!U60,'Working Data'!W60)</f>
        <v>230.8</v>
      </c>
      <c r="J60" s="4">
        <f>SUM('Working Data'!R60,'Working Data'!S60,'Working Data'!T60)</f>
        <v>350.6</v>
      </c>
      <c r="K60" s="4">
        <f>SUM('Working Data'!AC60,'Working Data'!Z60,'Working Data'!Q60)</f>
        <v>349.8</v>
      </c>
      <c r="L60" s="4">
        <v>119.9</v>
      </c>
    </row>
    <row r="61" spans="1:12" hidden="1" x14ac:dyDescent="0.3">
      <c r="A61" s="2" t="s">
        <v>34</v>
      </c>
      <c r="B61" s="2">
        <v>2014</v>
      </c>
      <c r="C61" s="2" t="s">
        <v>41</v>
      </c>
      <c r="D61">
        <f>SUM(Table13[[#This Row],[Cereals and products]:[Food and beverages]])</f>
        <v>1594.4999999999998</v>
      </c>
      <c r="E61" s="13">
        <v>114</v>
      </c>
      <c r="F61" s="13">
        <v>112.8</v>
      </c>
      <c r="G61" s="13">
        <v>118</v>
      </c>
      <c r="H61" s="4">
        <f>SUM('Working Data'!X61,'Working Data'!AB61)</f>
        <v>223.2</v>
      </c>
      <c r="I61" s="4">
        <f>SUM('Working Data'!U61,'Working Data'!W61)</f>
        <v>231.1</v>
      </c>
      <c r="J61" s="4">
        <f>SUM('Working Data'!R61,'Working Data'!S61,'Working Data'!T61)</f>
        <v>356.4</v>
      </c>
      <c r="K61" s="4">
        <f>SUM('Working Data'!AC61,'Working Data'!Z61,'Working Data'!Q61)</f>
        <v>346.20000000000005</v>
      </c>
      <c r="L61" s="4">
        <v>120.3</v>
      </c>
    </row>
    <row r="62" spans="1:12" hidden="1" x14ac:dyDescent="0.3">
      <c r="A62" s="1" t="s">
        <v>30</v>
      </c>
      <c r="B62" s="1">
        <v>2014</v>
      </c>
      <c r="C62" s="1" t="s">
        <v>42</v>
      </c>
      <c r="D62">
        <f>SUM(Table13[[#This Row],[Cereals and products]:[Food and beverages]])</f>
        <v>1583.2</v>
      </c>
      <c r="E62" s="12">
        <v>115.8</v>
      </c>
      <c r="F62" s="12">
        <v>112.8</v>
      </c>
      <c r="G62" s="12">
        <v>116.6</v>
      </c>
      <c r="H62" s="4">
        <f>SUM('Working Data'!X62,'Working Data'!AB62)</f>
        <v>223.6</v>
      </c>
      <c r="I62" s="4">
        <f>SUM('Working Data'!U62,'Working Data'!W62)</f>
        <v>232.8</v>
      </c>
      <c r="J62" s="4">
        <f>SUM('Working Data'!R62,'Working Data'!S62,'Working Data'!T62)</f>
        <v>362.2</v>
      </c>
      <c r="K62" s="4">
        <f>SUM('Working Data'!AC62,'Working Data'!Z62,'Working Data'!Q62)</f>
        <v>345.8</v>
      </c>
      <c r="L62" s="4">
        <v>120.9</v>
      </c>
    </row>
    <row r="63" spans="1:12" hidden="1" x14ac:dyDescent="0.3">
      <c r="A63" s="2" t="s">
        <v>33</v>
      </c>
      <c r="B63" s="2">
        <v>2014</v>
      </c>
      <c r="C63" s="2" t="s">
        <v>42</v>
      </c>
      <c r="D63">
        <f>SUM(Table13[[#This Row],[Cereals and products]:[Food and beverages]])</f>
        <v>1593.7000000000003</v>
      </c>
      <c r="E63" s="13">
        <v>111.8</v>
      </c>
      <c r="F63" s="13">
        <v>111.2</v>
      </c>
      <c r="G63" s="13">
        <v>120</v>
      </c>
      <c r="H63" s="4">
        <f>SUM('Working Data'!X63,'Working Data'!AB63)</f>
        <v>222.3</v>
      </c>
      <c r="I63" s="4">
        <f>SUM('Working Data'!U63,'Working Data'!W63)</f>
        <v>231.6</v>
      </c>
      <c r="J63" s="4">
        <f>SUM('Working Data'!R63,'Working Data'!S63,'Working Data'!T63)</f>
        <v>352.1</v>
      </c>
      <c r="K63" s="4">
        <f>SUM('Working Data'!AC63,'Working Data'!Z63,'Working Data'!Q63)</f>
        <v>351.3</v>
      </c>
      <c r="L63" s="4">
        <v>119.2</v>
      </c>
    </row>
    <row r="64" spans="1:12" hidden="1" x14ac:dyDescent="0.3">
      <c r="A64" s="1" t="s">
        <v>34</v>
      </c>
      <c r="B64" s="1">
        <v>2014</v>
      </c>
      <c r="C64" s="1" t="s">
        <v>42</v>
      </c>
      <c r="D64">
        <f>SUM(Table13[[#This Row],[Cereals and products]:[Food and beverages]])</f>
        <v>1586.0999999999997</v>
      </c>
      <c r="E64" s="12">
        <v>114.3</v>
      </c>
      <c r="F64" s="12">
        <v>112</v>
      </c>
      <c r="G64" s="12">
        <v>118.6</v>
      </c>
      <c r="H64" s="4">
        <f>SUM('Working Data'!X64,'Working Data'!AB64)</f>
        <v>223.2</v>
      </c>
      <c r="I64" s="4">
        <f>SUM('Working Data'!U64,'Working Data'!W64)</f>
        <v>232.2</v>
      </c>
      <c r="J64" s="4">
        <f>SUM('Working Data'!R64,'Working Data'!S64,'Working Data'!T64)</f>
        <v>358</v>
      </c>
      <c r="K64" s="4">
        <f>SUM('Working Data'!AC64,'Working Data'!Z64,'Working Data'!Q64)</f>
        <v>347.6</v>
      </c>
      <c r="L64" s="4">
        <v>120.1</v>
      </c>
    </row>
    <row r="65" spans="1:12" hidden="1" x14ac:dyDescent="0.3">
      <c r="A65" s="2" t="s">
        <v>30</v>
      </c>
      <c r="B65" s="2">
        <v>2014</v>
      </c>
      <c r="C65" s="2" t="s">
        <v>43</v>
      </c>
      <c r="D65">
        <f>SUM(Table13[[#This Row],[Cereals and products]:[Food and beverages]])</f>
        <v>1581.1999999999998</v>
      </c>
      <c r="E65" s="13">
        <v>116.4</v>
      </c>
      <c r="F65" s="13">
        <v>112.6</v>
      </c>
      <c r="G65" s="13">
        <v>116.9</v>
      </c>
      <c r="H65" s="4">
        <f>SUM('Working Data'!X65,'Working Data'!AB65)</f>
        <v>224.6</v>
      </c>
      <c r="I65" s="4">
        <f>SUM('Working Data'!U65,'Working Data'!W65)</f>
        <v>234.2</v>
      </c>
      <c r="J65" s="4">
        <f>SUM('Working Data'!R65,'Working Data'!S65,'Working Data'!T65)</f>
        <v>365.3</v>
      </c>
      <c r="K65" s="4">
        <f>SUM('Working Data'!AC65,'Working Data'!Z65,'Working Data'!Q65)</f>
        <v>347</v>
      </c>
      <c r="L65" s="4">
        <v>121</v>
      </c>
    </row>
    <row r="66" spans="1:12" hidden="1" x14ac:dyDescent="0.3">
      <c r="A66" s="1" t="s">
        <v>33</v>
      </c>
      <c r="B66" s="1">
        <v>2014</v>
      </c>
      <c r="C66" s="1" t="s">
        <v>43</v>
      </c>
      <c r="D66">
        <f>SUM(Table13[[#This Row],[Cereals and products]:[Food and beverages]])</f>
        <v>1587.5</v>
      </c>
      <c r="E66" s="12">
        <v>112</v>
      </c>
      <c r="F66" s="12">
        <v>111</v>
      </c>
      <c r="G66" s="12">
        <v>120.2</v>
      </c>
      <c r="H66" s="4">
        <f>SUM('Working Data'!X66,'Working Data'!AB66)</f>
        <v>222.7</v>
      </c>
      <c r="I66" s="4">
        <f>SUM('Working Data'!U66,'Working Data'!W66)</f>
        <v>232.5</v>
      </c>
      <c r="J66" s="4">
        <f>SUM('Working Data'!R66,'Working Data'!S66,'Working Data'!T66)</f>
        <v>353.4</v>
      </c>
      <c r="K66" s="4">
        <f>SUM('Working Data'!AC66,'Working Data'!Z66,'Working Data'!Q66)</f>
        <v>351.6</v>
      </c>
      <c r="L66" s="4">
        <v>119.1</v>
      </c>
    </row>
    <row r="67" spans="1:12" hidden="1" x14ac:dyDescent="0.3">
      <c r="A67" s="2" t="s">
        <v>34</v>
      </c>
      <c r="B67" s="2">
        <v>2014</v>
      </c>
      <c r="C67" s="2" t="s">
        <v>43</v>
      </c>
      <c r="D67">
        <f>SUM(Table13[[#This Row],[Cereals and products]:[Food and beverages]])</f>
        <v>1582.7</v>
      </c>
      <c r="E67" s="13">
        <v>114.7</v>
      </c>
      <c r="F67" s="13">
        <v>111.8</v>
      </c>
      <c r="G67" s="13">
        <v>118.8</v>
      </c>
      <c r="H67" s="4">
        <f>SUM('Working Data'!X67,'Working Data'!AB67)</f>
        <v>223.89999999999998</v>
      </c>
      <c r="I67" s="4">
        <f>SUM('Working Data'!U67,'Working Data'!W67)</f>
        <v>233.4</v>
      </c>
      <c r="J67" s="4">
        <f>SUM('Working Data'!R67,'Working Data'!S67,'Working Data'!T67)</f>
        <v>360.6</v>
      </c>
      <c r="K67" s="4">
        <f>SUM('Working Data'!AC67,'Working Data'!Z67,'Working Data'!Q67)</f>
        <v>348.29999999999995</v>
      </c>
      <c r="L67" s="4">
        <v>120.1</v>
      </c>
    </row>
    <row r="68" spans="1:12" hidden="1" x14ac:dyDescent="0.3">
      <c r="A68" s="1" t="s">
        <v>30</v>
      </c>
      <c r="B68" s="1">
        <v>2014</v>
      </c>
      <c r="C68" s="1" t="s">
        <v>45</v>
      </c>
      <c r="D68">
        <f>SUM(Table13[[#This Row],[Cereals and products]:[Food and beverages]])</f>
        <v>1582</v>
      </c>
      <c r="E68" s="12">
        <v>117.3</v>
      </c>
      <c r="F68" s="12">
        <v>112</v>
      </c>
      <c r="G68" s="12">
        <v>117.2</v>
      </c>
      <c r="H68" s="4">
        <f>SUM('Working Data'!X68,'Working Data'!AB68)</f>
        <v>224.7</v>
      </c>
      <c r="I68" s="4">
        <f>SUM('Working Data'!U68,'Working Data'!W68)</f>
        <v>235.2</v>
      </c>
      <c r="J68" s="4">
        <f>SUM('Working Data'!R68,'Working Data'!S68,'Working Data'!T68)</f>
        <v>366.70000000000005</v>
      </c>
      <c r="K68" s="4">
        <f>SUM('Working Data'!AC68,'Working Data'!Z68,'Working Data'!Q68)</f>
        <v>348.2</v>
      </c>
      <c r="L68" s="4">
        <v>121.1</v>
      </c>
    </row>
    <row r="69" spans="1:12" hidden="1" x14ac:dyDescent="0.3">
      <c r="A69" s="2" t="s">
        <v>33</v>
      </c>
      <c r="B69" s="2">
        <v>2014</v>
      </c>
      <c r="C69" s="2" t="s">
        <v>45</v>
      </c>
      <c r="D69">
        <f>SUM(Table13[[#This Row],[Cereals and products]:[Food and beverages]])</f>
        <v>1587.8</v>
      </c>
      <c r="E69" s="13">
        <v>112.6</v>
      </c>
      <c r="F69" s="13">
        <v>109.7</v>
      </c>
      <c r="G69" s="13">
        <v>120.3</v>
      </c>
      <c r="H69" s="4">
        <f>SUM('Working Data'!X69,'Working Data'!AB69)</f>
        <v>222.6</v>
      </c>
      <c r="I69" s="4">
        <f>SUM('Working Data'!U69,'Working Data'!W69)</f>
        <v>233.5</v>
      </c>
      <c r="J69" s="4">
        <f>SUM('Working Data'!R69,'Working Data'!S69,'Working Data'!T69)</f>
        <v>355.2</v>
      </c>
      <c r="K69" s="4">
        <f>SUM('Working Data'!AC69,'Working Data'!Z69,'Working Data'!Q69)</f>
        <v>353.2</v>
      </c>
      <c r="L69" s="4">
        <v>119</v>
      </c>
    </row>
    <row r="70" spans="1:12" hidden="1" x14ac:dyDescent="0.3">
      <c r="A70" s="1" t="s">
        <v>34</v>
      </c>
      <c r="B70" s="1">
        <v>2014</v>
      </c>
      <c r="C70" s="1" t="s">
        <v>45</v>
      </c>
      <c r="D70">
        <f>SUM(Table13[[#This Row],[Cereals and products]:[Food and beverages]])</f>
        <v>1583.2</v>
      </c>
      <c r="E70" s="12">
        <v>115.5</v>
      </c>
      <c r="F70" s="12">
        <v>110.8</v>
      </c>
      <c r="G70" s="12">
        <v>119</v>
      </c>
      <c r="H70" s="4">
        <f>SUM('Working Data'!X70,'Working Data'!AB70)</f>
        <v>223.89999999999998</v>
      </c>
      <c r="I70" s="4">
        <f>SUM('Working Data'!U70,'Working Data'!W70)</f>
        <v>234.39999999999998</v>
      </c>
      <c r="J70" s="4">
        <f>SUM('Working Data'!R70,'Working Data'!S70,'Working Data'!T70)</f>
        <v>362.1</v>
      </c>
      <c r="K70" s="4">
        <f>SUM('Working Data'!AC70,'Working Data'!Z70,'Working Data'!Q70)</f>
        <v>349.6</v>
      </c>
      <c r="L70" s="4">
        <v>120.1</v>
      </c>
    </row>
    <row r="71" spans="1:12" hidden="1" x14ac:dyDescent="0.3">
      <c r="A71" s="2" t="s">
        <v>30</v>
      </c>
      <c r="B71" s="2">
        <v>2014</v>
      </c>
      <c r="C71" s="2" t="s">
        <v>46</v>
      </c>
      <c r="D71">
        <f>SUM(Table13[[#This Row],[Cereals and products]:[Food and beverages]])</f>
        <v>1569.6</v>
      </c>
      <c r="E71" s="13">
        <v>117.4</v>
      </c>
      <c r="F71" s="13">
        <v>111.5</v>
      </c>
      <c r="G71" s="13">
        <v>117.7</v>
      </c>
      <c r="H71" s="4">
        <f>SUM('Working Data'!X71,'Working Data'!AB71)</f>
        <v>225.60000000000002</v>
      </c>
      <c r="I71" s="4">
        <f>SUM('Working Data'!U71,'Working Data'!W71)</f>
        <v>234.7</v>
      </c>
      <c r="J71" s="4">
        <f>SUM('Working Data'!R71,'Working Data'!S71,'Working Data'!T71)</f>
        <v>367.7</v>
      </c>
      <c r="K71" s="4">
        <f>SUM('Working Data'!AC71,'Working Data'!Z71,'Working Data'!Q71)</f>
        <v>349.2</v>
      </c>
      <c r="L71" s="4">
        <v>120.3</v>
      </c>
    </row>
    <row r="72" spans="1:12" hidden="1" x14ac:dyDescent="0.3">
      <c r="A72" s="1" t="s">
        <v>33</v>
      </c>
      <c r="B72" s="1">
        <v>2014</v>
      </c>
      <c r="C72" s="1" t="s">
        <v>46</v>
      </c>
      <c r="D72">
        <f>SUM(Table13[[#This Row],[Cereals and products]:[Food and beverages]])</f>
        <v>1577.1999999999998</v>
      </c>
      <c r="E72" s="12">
        <v>113</v>
      </c>
      <c r="F72" s="12">
        <v>108.8</v>
      </c>
      <c r="G72" s="12">
        <v>120.7</v>
      </c>
      <c r="H72" s="4">
        <f>SUM('Working Data'!X72,'Working Data'!AB72)</f>
        <v>223.60000000000002</v>
      </c>
      <c r="I72" s="4">
        <f>SUM('Working Data'!U72,'Working Data'!W72)</f>
        <v>233.3</v>
      </c>
      <c r="J72" s="4">
        <f>SUM('Working Data'!R72,'Working Data'!S72,'Working Data'!T72)</f>
        <v>356.5</v>
      </c>
      <c r="K72" s="4">
        <f>SUM('Working Data'!AC72,'Working Data'!Z72,'Working Data'!Q72)</f>
        <v>354.1</v>
      </c>
      <c r="L72" s="4">
        <v>118.4</v>
      </c>
    </row>
    <row r="73" spans="1:12" hidden="1" x14ac:dyDescent="0.3">
      <c r="A73" s="2" t="s">
        <v>34</v>
      </c>
      <c r="B73" s="2">
        <v>2014</v>
      </c>
      <c r="C73" s="2" t="s">
        <v>46</v>
      </c>
      <c r="D73">
        <f>SUM(Table13[[#This Row],[Cereals and products]:[Food and beverages]])</f>
        <v>1571.6999999999998</v>
      </c>
      <c r="E73" s="13">
        <v>115.7</v>
      </c>
      <c r="F73" s="13">
        <v>110.1</v>
      </c>
      <c r="G73" s="13">
        <v>119.5</v>
      </c>
      <c r="H73" s="4">
        <f>SUM('Working Data'!X73,'Working Data'!AB73)</f>
        <v>224.89999999999998</v>
      </c>
      <c r="I73" s="4">
        <f>SUM('Working Data'!U73,'Working Data'!W73)</f>
        <v>234</v>
      </c>
      <c r="J73" s="4">
        <f>SUM('Working Data'!R73,'Working Data'!S73,'Working Data'!T73)</f>
        <v>363.2</v>
      </c>
      <c r="K73" s="4">
        <f>SUM('Working Data'!AC73,'Working Data'!Z73,'Working Data'!Q73)</f>
        <v>350.7</v>
      </c>
      <c r="L73" s="4">
        <v>119.4</v>
      </c>
    </row>
    <row r="74" spans="1:12" hidden="1" x14ac:dyDescent="0.3">
      <c r="A74" s="1" t="s">
        <v>30</v>
      </c>
      <c r="B74" s="1">
        <v>2015</v>
      </c>
      <c r="C74" s="1" t="s">
        <v>31</v>
      </c>
      <c r="D74">
        <f>SUM(Table13[[#This Row],[Cereals and products]:[Food and beverages]])</f>
        <v>1568.1</v>
      </c>
      <c r="E74" s="12">
        <v>118.4</v>
      </c>
      <c r="F74" s="12">
        <v>111</v>
      </c>
      <c r="G74" s="12">
        <v>118.2</v>
      </c>
      <c r="H74" s="4">
        <f>SUM('Working Data'!X74,'Working Data'!AB74)</f>
        <v>226.8</v>
      </c>
      <c r="I74" s="4">
        <f>SUM('Working Data'!U74,'Working Data'!W74)</f>
        <v>236.2</v>
      </c>
      <c r="J74" s="4">
        <f>SUM('Working Data'!R74,'Working Data'!S74,'Working Data'!T74)</f>
        <v>370</v>
      </c>
      <c r="K74" s="4">
        <f>SUM('Working Data'!AC74,'Working Data'!Z74,'Working Data'!Q74)</f>
        <v>351.2</v>
      </c>
      <c r="L74" s="4">
        <v>120.3</v>
      </c>
    </row>
    <row r="75" spans="1:12" hidden="1" x14ac:dyDescent="0.3">
      <c r="A75" s="2" t="s">
        <v>33</v>
      </c>
      <c r="B75" s="2">
        <v>2015</v>
      </c>
      <c r="C75" s="2" t="s">
        <v>31</v>
      </c>
      <c r="D75">
        <f>SUM(Table13[[#This Row],[Cereals and products]:[Food and beverages]])</f>
        <v>1574.8999999999999</v>
      </c>
      <c r="E75" s="13">
        <v>113.4</v>
      </c>
      <c r="F75" s="13">
        <v>107.9</v>
      </c>
      <c r="G75" s="13">
        <v>120.8</v>
      </c>
      <c r="H75" s="4">
        <f>SUM('Working Data'!X75,'Working Data'!AB75)</f>
        <v>225.10000000000002</v>
      </c>
      <c r="I75" s="4">
        <f>SUM('Working Data'!U75,'Working Data'!W75)</f>
        <v>234.5</v>
      </c>
      <c r="J75" s="4">
        <f>SUM('Working Data'!R75,'Working Data'!S75,'Working Data'!T75)</f>
        <v>357.3</v>
      </c>
      <c r="K75" s="4">
        <f>SUM('Working Data'!AC75,'Working Data'!Z75,'Working Data'!Q75)</f>
        <v>355.4</v>
      </c>
      <c r="L75" s="4">
        <v>118.5</v>
      </c>
    </row>
    <row r="76" spans="1:12" hidden="1" x14ac:dyDescent="0.3">
      <c r="A76" s="1" t="s">
        <v>34</v>
      </c>
      <c r="B76" s="1">
        <v>2015</v>
      </c>
      <c r="C76" s="1" t="s">
        <v>31</v>
      </c>
      <c r="D76">
        <f>SUM(Table13[[#This Row],[Cereals and products]:[Food and beverages]])</f>
        <v>1569.3</v>
      </c>
      <c r="E76" s="12">
        <v>116.5</v>
      </c>
      <c r="F76" s="12">
        <v>109.4</v>
      </c>
      <c r="G76" s="12">
        <v>119.7</v>
      </c>
      <c r="H76" s="4">
        <f>SUM('Working Data'!X76,'Working Data'!AB76)</f>
        <v>226.2</v>
      </c>
      <c r="I76" s="4">
        <f>SUM('Working Data'!U76,'Working Data'!W76)</f>
        <v>235.39999999999998</v>
      </c>
      <c r="J76" s="4">
        <f>SUM('Working Data'!R76,'Working Data'!S76,'Working Data'!T76)</f>
        <v>364.9</v>
      </c>
      <c r="K76" s="4">
        <f>SUM('Working Data'!AC76,'Working Data'!Z76,'Working Data'!Q76)</f>
        <v>352.3</v>
      </c>
      <c r="L76" s="4">
        <v>119.5</v>
      </c>
    </row>
    <row r="77" spans="1:12" hidden="1" x14ac:dyDescent="0.3">
      <c r="A77" s="2" t="s">
        <v>30</v>
      </c>
      <c r="B77" s="2">
        <v>2015</v>
      </c>
      <c r="C77" s="2" t="s">
        <v>35</v>
      </c>
      <c r="D77">
        <f>SUM(Table13[[#This Row],[Cereals and products]:[Food and beverages]])</f>
        <v>1570.5999999999997</v>
      </c>
      <c r="E77" s="13">
        <v>120</v>
      </c>
      <c r="F77" s="13">
        <v>110.9</v>
      </c>
      <c r="G77" s="13">
        <v>118.7</v>
      </c>
      <c r="H77" s="4">
        <f>SUM('Working Data'!X77,'Working Data'!AB77)</f>
        <v>228.5</v>
      </c>
      <c r="I77" s="4">
        <f>SUM('Working Data'!U77,'Working Data'!W77)</f>
        <v>237.7</v>
      </c>
      <c r="J77" s="4">
        <f>SUM('Working Data'!R77,'Working Data'!S77,'Working Data'!T77)</f>
        <v>373.1</v>
      </c>
      <c r="K77" s="4">
        <f>SUM('Working Data'!AC77,'Working Data'!Z77,'Working Data'!Q77)</f>
        <v>354</v>
      </c>
      <c r="L77" s="4">
        <v>120.6</v>
      </c>
    </row>
    <row r="78" spans="1:12" hidden="1" x14ac:dyDescent="0.3">
      <c r="A78" s="1" t="s">
        <v>33</v>
      </c>
      <c r="B78" s="1">
        <v>2015</v>
      </c>
      <c r="C78" s="1" t="s">
        <v>35</v>
      </c>
      <c r="D78">
        <f>SUM(Table13[[#This Row],[Cereals and products]:[Food and beverages]])</f>
        <v>1571.1000000000001</v>
      </c>
      <c r="E78" s="12">
        <v>114</v>
      </c>
      <c r="F78" s="12">
        <v>106.8</v>
      </c>
      <c r="G78" s="12">
        <v>120.4</v>
      </c>
      <c r="H78" s="4">
        <f>SUM('Working Data'!X78,'Working Data'!AB78)</f>
        <v>225.8</v>
      </c>
      <c r="I78" s="4">
        <f>SUM('Working Data'!U78,'Working Data'!W78)</f>
        <v>235.8</v>
      </c>
      <c r="J78" s="4">
        <f>SUM('Working Data'!R78,'Working Data'!S78,'Working Data'!T78)</f>
        <v>358.4</v>
      </c>
      <c r="K78" s="4">
        <f>SUM('Working Data'!AC78,'Working Data'!Z78,'Working Data'!Q78)</f>
        <v>356.20000000000005</v>
      </c>
      <c r="L78" s="4">
        <v>118.7</v>
      </c>
    </row>
    <row r="79" spans="1:12" hidden="1" x14ac:dyDescent="0.3">
      <c r="A79" s="2" t="s">
        <v>34</v>
      </c>
      <c r="B79" s="2">
        <v>2015</v>
      </c>
      <c r="C79" s="2" t="s">
        <v>35</v>
      </c>
      <c r="D79">
        <f>SUM(Table13[[#This Row],[Cereals and products]:[Food and beverages]])</f>
        <v>1569.3999999999996</v>
      </c>
      <c r="E79" s="13">
        <v>117.7</v>
      </c>
      <c r="F79" s="13">
        <v>108.7</v>
      </c>
      <c r="G79" s="13">
        <v>119.7</v>
      </c>
      <c r="H79" s="4">
        <f>SUM('Working Data'!X79,'Working Data'!AB79)</f>
        <v>227.5</v>
      </c>
      <c r="I79" s="4">
        <f>SUM('Working Data'!U79,'Working Data'!W79)</f>
        <v>236.8</v>
      </c>
      <c r="J79" s="4">
        <f>SUM('Working Data'!R79,'Working Data'!S79,'Working Data'!T79)</f>
        <v>367.2</v>
      </c>
      <c r="K79" s="4">
        <f>SUM('Working Data'!AC79,'Working Data'!Z79,'Working Data'!Q79)</f>
        <v>354.2</v>
      </c>
      <c r="L79" s="4">
        <v>119.7</v>
      </c>
    </row>
    <row r="80" spans="1:12" hidden="1" x14ac:dyDescent="0.3">
      <c r="A80" s="1" t="s">
        <v>30</v>
      </c>
      <c r="B80" s="1">
        <v>2015</v>
      </c>
      <c r="C80" s="1" t="s">
        <v>36</v>
      </c>
      <c r="D80">
        <f>SUM(Table13[[#This Row],[Cereals and products]:[Food and beverages]])</f>
        <v>1571.5</v>
      </c>
      <c r="E80" s="12">
        <v>120.6</v>
      </c>
      <c r="F80" s="12">
        <v>111.6</v>
      </c>
      <c r="G80" s="12">
        <v>119.4</v>
      </c>
      <c r="H80" s="4">
        <f>SUM('Working Data'!X80,'Working Data'!AB80)</f>
        <v>229</v>
      </c>
      <c r="I80" s="4">
        <f>SUM('Working Data'!U80,'Working Data'!W80)</f>
        <v>238.8</v>
      </c>
      <c r="J80" s="4">
        <f>SUM('Working Data'!R80,'Working Data'!S80,'Working Data'!T80)</f>
        <v>374.4</v>
      </c>
      <c r="K80" s="4">
        <f>SUM('Working Data'!AC80,'Working Data'!Z80,'Working Data'!Q80)</f>
        <v>355.7</v>
      </c>
      <c r="L80" s="4">
        <v>121.1</v>
      </c>
    </row>
    <row r="81" spans="1:12" hidden="1" x14ac:dyDescent="0.3">
      <c r="A81" s="2" t="s">
        <v>33</v>
      </c>
      <c r="B81" s="2">
        <v>2015</v>
      </c>
      <c r="C81" s="2" t="s">
        <v>36</v>
      </c>
      <c r="D81">
        <f>SUM(Table13[[#This Row],[Cereals and products]:[Food and beverages]])</f>
        <v>1568.0000000000002</v>
      </c>
      <c r="E81" s="13">
        <v>114.4</v>
      </c>
      <c r="F81" s="13">
        <v>108.4</v>
      </c>
      <c r="G81" s="13">
        <v>120.6</v>
      </c>
      <c r="H81" s="4">
        <f>SUM('Working Data'!X81,'Working Data'!AB81)</f>
        <v>225.6</v>
      </c>
      <c r="I81" s="4">
        <f>SUM('Working Data'!U81,'Working Data'!W81)</f>
        <v>236.6</v>
      </c>
      <c r="J81" s="4">
        <f>SUM('Working Data'!R81,'Working Data'!S81,'Working Data'!T81)</f>
        <v>359.5</v>
      </c>
      <c r="K81" s="4">
        <f>SUM('Working Data'!AC81,'Working Data'!Z81,'Working Data'!Q81)</f>
        <v>358</v>
      </c>
      <c r="L81" s="4">
        <v>119.1</v>
      </c>
    </row>
    <row r="82" spans="1:12" hidden="1" x14ac:dyDescent="0.3">
      <c r="A82" s="1" t="s">
        <v>34</v>
      </c>
      <c r="B82" s="1">
        <v>2015</v>
      </c>
      <c r="C82" s="1" t="s">
        <v>36</v>
      </c>
      <c r="D82">
        <f>SUM(Table13[[#This Row],[Cereals and products]:[Food and beverages]])</f>
        <v>1569.1</v>
      </c>
      <c r="E82" s="12">
        <v>118.3</v>
      </c>
      <c r="F82" s="12">
        <v>109.9</v>
      </c>
      <c r="G82" s="12">
        <v>120.1</v>
      </c>
      <c r="H82" s="4">
        <f>SUM('Working Data'!X82,'Working Data'!AB82)</f>
        <v>227.7</v>
      </c>
      <c r="I82" s="4">
        <f>SUM('Working Data'!U82,'Working Data'!W82)</f>
        <v>237.8</v>
      </c>
      <c r="J82" s="4">
        <f>SUM('Working Data'!R82,'Working Data'!S82,'Working Data'!T82)</f>
        <v>368.4</v>
      </c>
      <c r="K82" s="4">
        <f>SUM('Working Data'!AC82,'Working Data'!Z82,'Working Data'!Q82)</f>
        <v>355.90000000000003</v>
      </c>
      <c r="L82" s="4">
        <v>120.2</v>
      </c>
    </row>
    <row r="83" spans="1:12" hidden="1" x14ac:dyDescent="0.3">
      <c r="A83" s="2" t="s">
        <v>30</v>
      </c>
      <c r="B83" s="2">
        <v>2015</v>
      </c>
      <c r="C83" s="2" t="s">
        <v>37</v>
      </c>
      <c r="D83">
        <f>SUM(Table13[[#This Row],[Cereals and products]:[Food and beverages]])</f>
        <v>1577.2</v>
      </c>
      <c r="E83" s="13">
        <v>121.2</v>
      </c>
      <c r="F83" s="13">
        <v>111.9</v>
      </c>
      <c r="G83" s="13">
        <v>119.9</v>
      </c>
      <c r="H83" s="4">
        <f>SUM('Working Data'!X83,'Working Data'!AB83)</f>
        <v>230.2</v>
      </c>
      <c r="I83" s="4">
        <f>SUM('Working Data'!U83,'Working Data'!W83)</f>
        <v>240.10000000000002</v>
      </c>
      <c r="J83" s="4">
        <f>SUM('Working Data'!R83,'Working Data'!S83,'Working Data'!T83)</f>
        <v>375.7</v>
      </c>
      <c r="K83" s="4">
        <f>SUM('Working Data'!AC83,'Working Data'!Z83,'Working Data'!Q83)</f>
        <v>357.9</v>
      </c>
      <c r="L83" s="4">
        <v>121.5</v>
      </c>
    </row>
    <row r="84" spans="1:12" hidden="1" x14ac:dyDescent="0.3">
      <c r="A84" s="1" t="s">
        <v>33</v>
      </c>
      <c r="B84" s="1">
        <v>2015</v>
      </c>
      <c r="C84" s="1" t="s">
        <v>37</v>
      </c>
      <c r="D84">
        <f>SUM(Table13[[#This Row],[Cereals and products]:[Food and beverages]])</f>
        <v>1576.1</v>
      </c>
      <c r="E84" s="12">
        <v>114.7</v>
      </c>
      <c r="F84" s="12">
        <v>108.4</v>
      </c>
      <c r="G84" s="12">
        <v>121.7</v>
      </c>
      <c r="H84" s="4">
        <f>SUM('Working Data'!X84,'Working Data'!AB84)</f>
        <v>226.39999999999998</v>
      </c>
      <c r="I84" s="4">
        <f>SUM('Working Data'!U84,'Working Data'!W84)</f>
        <v>237.60000000000002</v>
      </c>
      <c r="J84" s="4">
        <f>SUM('Working Data'!R84,'Working Data'!S84,'Working Data'!T84)</f>
        <v>360.6</v>
      </c>
      <c r="K84" s="4">
        <f>SUM('Working Data'!AC84,'Working Data'!Z84,'Working Data'!Q84)</f>
        <v>359.9</v>
      </c>
      <c r="L84" s="4">
        <v>119.7</v>
      </c>
    </row>
    <row r="85" spans="1:12" hidden="1" x14ac:dyDescent="0.3">
      <c r="A85" s="2" t="s">
        <v>34</v>
      </c>
      <c r="B85" s="2">
        <v>2015</v>
      </c>
      <c r="C85" s="2" t="s">
        <v>37</v>
      </c>
      <c r="D85">
        <f>SUM(Table13[[#This Row],[Cereals and products]:[Food and beverages]])</f>
        <v>1575.7</v>
      </c>
      <c r="E85" s="13">
        <v>118.7</v>
      </c>
      <c r="F85" s="13">
        <v>110.1</v>
      </c>
      <c r="G85" s="13">
        <v>121</v>
      </c>
      <c r="H85" s="4">
        <f>SUM('Working Data'!X85,'Working Data'!AB85)</f>
        <v>228.8</v>
      </c>
      <c r="I85" s="4">
        <f>SUM('Working Data'!U85,'Working Data'!W85)</f>
        <v>238.9</v>
      </c>
      <c r="J85" s="4">
        <f>SUM('Working Data'!R85,'Working Data'!S85,'Working Data'!T85)</f>
        <v>369.6</v>
      </c>
      <c r="K85" s="4">
        <f>SUM('Working Data'!AC85,'Working Data'!Z85,'Working Data'!Q85)</f>
        <v>357.9</v>
      </c>
      <c r="L85" s="4">
        <v>120.7</v>
      </c>
    </row>
    <row r="86" spans="1:12" hidden="1" x14ac:dyDescent="0.3">
      <c r="A86" s="1" t="s">
        <v>30</v>
      </c>
      <c r="B86" s="1">
        <v>2015</v>
      </c>
      <c r="C86" s="1" t="s">
        <v>38</v>
      </c>
      <c r="D86">
        <f>SUM(Table13[[#This Row],[Cereals and products]:[Food and beverages]])</f>
        <v>1587.7</v>
      </c>
      <c r="E86" s="12">
        <v>121.9</v>
      </c>
      <c r="F86" s="12">
        <v>113.3</v>
      </c>
      <c r="G86" s="12">
        <v>120.5</v>
      </c>
      <c r="H86" s="4">
        <f>SUM('Working Data'!X86,'Working Data'!AB86)</f>
        <v>231.7</v>
      </c>
      <c r="I86" s="4">
        <f>SUM('Working Data'!U86,'Working Data'!W86)</f>
        <v>241.1</v>
      </c>
      <c r="J86" s="4">
        <f>SUM('Working Data'!R86,'Working Data'!S86,'Working Data'!T86)</f>
        <v>378.2</v>
      </c>
      <c r="K86" s="4">
        <f>SUM('Working Data'!AC86,'Working Data'!Z86,'Working Data'!Q86)</f>
        <v>360.3</v>
      </c>
      <c r="L86" s="4">
        <v>122.4</v>
      </c>
    </row>
    <row r="87" spans="1:12" hidden="1" x14ac:dyDescent="0.3">
      <c r="A87" s="2" t="s">
        <v>33</v>
      </c>
      <c r="B87" s="2">
        <v>2015</v>
      </c>
      <c r="C87" s="2" t="s">
        <v>38</v>
      </c>
      <c r="D87">
        <f>SUM(Table13[[#This Row],[Cereals and products]:[Food and beverages]])</f>
        <v>1598.9</v>
      </c>
      <c r="E87" s="13">
        <v>114.9</v>
      </c>
      <c r="F87" s="13">
        <v>110.8</v>
      </c>
      <c r="G87" s="13">
        <v>122</v>
      </c>
      <c r="H87" s="4">
        <f>SUM('Working Data'!X87,'Working Data'!AB87)</f>
        <v>227.3</v>
      </c>
      <c r="I87" s="4">
        <f>SUM('Working Data'!U87,'Working Data'!W87)</f>
        <v>238.3</v>
      </c>
      <c r="J87" s="4">
        <f>SUM('Working Data'!R87,'Working Data'!S87,'Working Data'!T87)</f>
        <v>361.4</v>
      </c>
      <c r="K87" s="4">
        <f>SUM('Working Data'!AC87,'Working Data'!Z87,'Working Data'!Q87)</f>
        <v>362.5</v>
      </c>
      <c r="L87" s="4">
        <v>120.7</v>
      </c>
    </row>
    <row r="88" spans="1:12" hidden="1" x14ac:dyDescent="0.3">
      <c r="A88" s="1" t="s">
        <v>34</v>
      </c>
      <c r="B88" s="1">
        <v>2015</v>
      </c>
      <c r="C88" s="1" t="s">
        <v>38</v>
      </c>
      <c r="D88">
        <f>SUM(Table13[[#This Row],[Cereals and products]:[Food and beverages]])</f>
        <v>1590.4</v>
      </c>
      <c r="E88" s="12">
        <v>119.2</v>
      </c>
      <c r="F88" s="12">
        <v>112</v>
      </c>
      <c r="G88" s="12">
        <v>121.4</v>
      </c>
      <c r="H88" s="4">
        <f>SUM('Working Data'!X88,'Working Data'!AB88)</f>
        <v>230</v>
      </c>
      <c r="I88" s="4">
        <f>SUM('Working Data'!U88,'Working Data'!W88)</f>
        <v>239.8</v>
      </c>
      <c r="J88" s="4">
        <f>SUM('Working Data'!R88,'Working Data'!S88,'Working Data'!T88)</f>
        <v>371.4</v>
      </c>
      <c r="K88" s="4">
        <f>SUM('Working Data'!AC88,'Working Data'!Z88,'Working Data'!Q88)</f>
        <v>360.29999999999995</v>
      </c>
      <c r="L88" s="4">
        <v>121.6</v>
      </c>
    </row>
    <row r="89" spans="1:12" hidden="1" x14ac:dyDescent="0.3">
      <c r="A89" s="2" t="s">
        <v>30</v>
      </c>
      <c r="B89" s="2">
        <v>2015</v>
      </c>
      <c r="C89" s="2" t="s">
        <v>39</v>
      </c>
      <c r="D89">
        <f>SUM(Table13[[#This Row],[Cereals and products]:[Food and beverages]])</f>
        <v>1617.8999999999999</v>
      </c>
      <c r="E89" s="13">
        <v>122.6</v>
      </c>
      <c r="F89" s="13">
        <v>114.2</v>
      </c>
      <c r="G89" s="13">
        <v>122</v>
      </c>
      <c r="H89" s="4">
        <f>SUM('Working Data'!X89,'Working Data'!AB89)</f>
        <v>233.4</v>
      </c>
      <c r="I89" s="4">
        <f>SUM('Working Data'!U89,'Working Data'!W89)</f>
        <v>241.8</v>
      </c>
      <c r="J89" s="4">
        <f>SUM('Working Data'!R89,'Working Data'!S89,'Working Data'!T89)</f>
        <v>381.5</v>
      </c>
      <c r="K89" s="4">
        <f>SUM('Working Data'!AC89,'Working Data'!Z89,'Working Data'!Q89)</f>
        <v>364</v>
      </c>
      <c r="L89" s="4">
        <v>124.1</v>
      </c>
    </row>
    <row r="90" spans="1:12" hidden="1" x14ac:dyDescent="0.3">
      <c r="A90" s="1" t="s">
        <v>33</v>
      </c>
      <c r="B90" s="1">
        <v>2015</v>
      </c>
      <c r="C90" s="1" t="s">
        <v>39</v>
      </c>
      <c r="D90">
        <f>SUM(Table13[[#This Row],[Cereals and products]:[Food and beverages]])</f>
        <v>1636.6</v>
      </c>
      <c r="E90" s="12">
        <v>115.1</v>
      </c>
      <c r="F90" s="12">
        <v>111.7</v>
      </c>
      <c r="G90" s="12">
        <v>123.8</v>
      </c>
      <c r="H90" s="4">
        <f>SUM('Working Data'!X90,'Working Data'!AB90)</f>
        <v>227.9</v>
      </c>
      <c r="I90" s="4">
        <f>SUM('Working Data'!U90,'Working Data'!W90)</f>
        <v>238.2</v>
      </c>
      <c r="J90" s="4">
        <f>SUM('Working Data'!R90,'Working Data'!S90,'Working Data'!T90)</f>
        <v>363.1</v>
      </c>
      <c r="K90" s="4">
        <f>SUM('Working Data'!AC90,'Working Data'!Z90,'Working Data'!Q90)</f>
        <v>364.29999999999995</v>
      </c>
      <c r="L90" s="4">
        <v>121.7</v>
      </c>
    </row>
    <row r="91" spans="1:12" hidden="1" x14ac:dyDescent="0.3">
      <c r="A91" s="2" t="s">
        <v>34</v>
      </c>
      <c r="B91" s="2">
        <v>2015</v>
      </c>
      <c r="C91" s="2" t="s">
        <v>39</v>
      </c>
      <c r="D91">
        <f>SUM(Table13[[#This Row],[Cereals and products]:[Food and beverages]])</f>
        <v>1623.5</v>
      </c>
      <c r="E91" s="13">
        <v>119.8</v>
      </c>
      <c r="F91" s="13">
        <v>112.9</v>
      </c>
      <c r="G91" s="13">
        <v>123.1</v>
      </c>
      <c r="H91" s="4">
        <f>SUM('Working Data'!X91,'Working Data'!AB91)</f>
        <v>231.3</v>
      </c>
      <c r="I91" s="4">
        <f>SUM('Working Data'!U91,'Working Data'!W91)</f>
        <v>240.1</v>
      </c>
      <c r="J91" s="4">
        <f>SUM('Working Data'!R91,'Working Data'!S91,'Working Data'!T91)</f>
        <v>374.1</v>
      </c>
      <c r="K91" s="4">
        <f>SUM('Working Data'!AC91,'Working Data'!Z91,'Working Data'!Q91)</f>
        <v>363.1</v>
      </c>
      <c r="L91" s="4">
        <v>123</v>
      </c>
    </row>
    <row r="92" spans="1:12" hidden="1" x14ac:dyDescent="0.3">
      <c r="A92" s="1" t="s">
        <v>30</v>
      </c>
      <c r="B92" s="1">
        <v>2015</v>
      </c>
      <c r="C92" s="1" t="s">
        <v>40</v>
      </c>
      <c r="D92">
        <f>SUM(Table13[[#This Row],[Cereals and products]:[Food and beverages]])</f>
        <v>1625.3</v>
      </c>
      <c r="E92" s="12">
        <v>123</v>
      </c>
      <c r="F92" s="12">
        <v>114.1</v>
      </c>
      <c r="G92" s="12">
        <v>122.9</v>
      </c>
      <c r="H92" s="4">
        <f>SUM('Working Data'!X92,'Working Data'!AB92)</f>
        <v>233.5</v>
      </c>
      <c r="I92" s="4">
        <f>SUM('Working Data'!U92,'Working Data'!W92)</f>
        <v>242.9</v>
      </c>
      <c r="J92" s="4">
        <f>SUM('Working Data'!R92,'Working Data'!S92,'Working Data'!T92)</f>
        <v>382.6</v>
      </c>
      <c r="K92" s="4">
        <f>SUM('Working Data'!AC92,'Working Data'!Z92,'Working Data'!Q92)</f>
        <v>365.5</v>
      </c>
      <c r="L92" s="4">
        <v>124.7</v>
      </c>
    </row>
    <row r="93" spans="1:12" hidden="1" x14ac:dyDescent="0.3">
      <c r="A93" s="2" t="s">
        <v>33</v>
      </c>
      <c r="B93" s="2">
        <v>2015</v>
      </c>
      <c r="C93" s="2" t="s">
        <v>40</v>
      </c>
      <c r="D93">
        <f>SUM(Table13[[#This Row],[Cereals and products]:[Food and beverages]])</f>
        <v>1642.8999999999999</v>
      </c>
      <c r="E93" s="13">
        <v>115.3</v>
      </c>
      <c r="F93" s="13">
        <v>111.5</v>
      </c>
      <c r="G93" s="13">
        <v>125.4</v>
      </c>
      <c r="H93" s="4">
        <f>SUM('Working Data'!X93,'Working Data'!AB93)</f>
        <v>227.7</v>
      </c>
      <c r="I93" s="4">
        <f>SUM('Working Data'!U93,'Working Data'!W93)</f>
        <v>239.4</v>
      </c>
      <c r="J93" s="4">
        <f>SUM('Working Data'!R93,'Working Data'!S93,'Working Data'!T93)</f>
        <v>364.1</v>
      </c>
      <c r="K93" s="4">
        <f>SUM('Working Data'!AC93,'Working Data'!Z93,'Working Data'!Q93)</f>
        <v>366</v>
      </c>
      <c r="L93" s="4">
        <v>122.4</v>
      </c>
    </row>
    <row r="94" spans="1:12" hidden="1" x14ac:dyDescent="0.3">
      <c r="A94" s="1" t="s">
        <v>34</v>
      </c>
      <c r="B94" s="1">
        <v>2015</v>
      </c>
      <c r="C94" s="1" t="s">
        <v>40</v>
      </c>
      <c r="D94">
        <f>SUM(Table13[[#This Row],[Cereals and products]:[Food and beverages]])</f>
        <v>1630.6000000000001</v>
      </c>
      <c r="E94" s="12">
        <v>120.1</v>
      </c>
      <c r="F94" s="12">
        <v>112.7</v>
      </c>
      <c r="G94" s="12">
        <v>124.4</v>
      </c>
      <c r="H94" s="4">
        <f>SUM('Working Data'!X94,'Working Data'!AB94)</f>
        <v>231.3</v>
      </c>
      <c r="I94" s="4">
        <f>SUM('Working Data'!U94,'Working Data'!W94)</f>
        <v>241.2</v>
      </c>
      <c r="J94" s="4">
        <f>SUM('Working Data'!R94,'Working Data'!S94,'Working Data'!T94)</f>
        <v>375.1</v>
      </c>
      <c r="K94" s="4">
        <f>SUM('Working Data'!AC94,'Working Data'!Z94,'Working Data'!Q94)</f>
        <v>364.8</v>
      </c>
      <c r="L94" s="4">
        <v>123.6</v>
      </c>
    </row>
    <row r="95" spans="1:12" hidden="1" x14ac:dyDescent="0.3">
      <c r="A95" s="2" t="s">
        <v>30</v>
      </c>
      <c r="B95" s="2">
        <v>2015</v>
      </c>
      <c r="C95" s="2" t="s">
        <v>41</v>
      </c>
      <c r="D95">
        <f>SUM(Table13[[#This Row],[Cereals and products]:[Food and beverages]])</f>
        <v>1646.6</v>
      </c>
      <c r="E95" s="13">
        <v>123.8</v>
      </c>
      <c r="F95" s="13">
        <v>113.6</v>
      </c>
      <c r="G95" s="13">
        <v>123.6</v>
      </c>
      <c r="H95" s="4">
        <f>SUM('Working Data'!X95,'Working Data'!AB95)</f>
        <v>233.6</v>
      </c>
      <c r="I95" s="4">
        <f>SUM('Working Data'!U95,'Working Data'!W95)</f>
        <v>244.60000000000002</v>
      </c>
      <c r="J95" s="4">
        <f>SUM('Working Data'!R95,'Working Data'!S95,'Working Data'!T95)</f>
        <v>384.8</v>
      </c>
      <c r="K95" s="4">
        <f>SUM('Working Data'!AC95,'Working Data'!Z95,'Working Data'!Q95)</f>
        <v>366.79999999999995</v>
      </c>
      <c r="L95" s="4">
        <v>126.1</v>
      </c>
    </row>
    <row r="96" spans="1:12" hidden="1" x14ac:dyDescent="0.3">
      <c r="A96" s="1" t="s">
        <v>33</v>
      </c>
      <c r="B96" s="1">
        <v>2015</v>
      </c>
      <c r="C96" s="1" t="s">
        <v>41</v>
      </c>
      <c r="D96">
        <f>SUM(Table13[[#This Row],[Cereals and products]:[Food and beverages]])</f>
        <v>1658.8999999999999</v>
      </c>
      <c r="E96" s="12">
        <v>115.3</v>
      </c>
      <c r="F96" s="12">
        <v>109.9</v>
      </c>
      <c r="G96" s="12">
        <v>126.2</v>
      </c>
      <c r="H96" s="4">
        <f>SUM('Working Data'!X96,'Working Data'!AB96)</f>
        <v>228.6</v>
      </c>
      <c r="I96" s="4">
        <f>SUM('Working Data'!U96,'Working Data'!W96)</f>
        <v>240.9</v>
      </c>
      <c r="J96" s="4">
        <f>SUM('Working Data'!R96,'Working Data'!S96,'Working Data'!T96)</f>
        <v>364.8</v>
      </c>
      <c r="K96" s="4">
        <f>SUM('Working Data'!AC96,'Working Data'!Z96,'Working Data'!Q96)</f>
        <v>367.6</v>
      </c>
      <c r="L96" s="4">
        <v>123.2</v>
      </c>
    </row>
    <row r="97" spans="1:12" hidden="1" x14ac:dyDescent="0.3">
      <c r="A97" s="2" t="s">
        <v>34</v>
      </c>
      <c r="B97" s="2">
        <v>2015</v>
      </c>
      <c r="C97" s="2" t="s">
        <v>41</v>
      </c>
      <c r="D97">
        <f>SUM(Table13[[#This Row],[Cereals and products]:[Food and beverages]])</f>
        <v>1649.6</v>
      </c>
      <c r="E97" s="13">
        <v>120.6</v>
      </c>
      <c r="F97" s="13">
        <v>111.7</v>
      </c>
      <c r="G97" s="13">
        <v>125.1</v>
      </c>
      <c r="H97" s="4">
        <f>SUM('Working Data'!X97,'Working Data'!AB97)</f>
        <v>231.7</v>
      </c>
      <c r="I97" s="4">
        <f>SUM('Working Data'!U97,'Working Data'!W97)</f>
        <v>242.9</v>
      </c>
      <c r="J97" s="4">
        <f>SUM('Working Data'!R97,'Working Data'!S97,'Working Data'!T97)</f>
        <v>376.70000000000005</v>
      </c>
      <c r="K97" s="4">
        <f>SUM('Working Data'!AC97,'Working Data'!Z97,'Working Data'!Q97)</f>
        <v>366.2</v>
      </c>
      <c r="L97" s="4">
        <v>124.8</v>
      </c>
    </row>
    <row r="98" spans="1:12" hidden="1" x14ac:dyDescent="0.3">
      <c r="A98" s="1" t="s">
        <v>30</v>
      </c>
      <c r="B98" s="1">
        <v>2015</v>
      </c>
      <c r="C98" s="1" t="s">
        <v>42</v>
      </c>
      <c r="D98">
        <f>SUM(Table13[[#This Row],[Cereals and products]:[Food and beverages]])</f>
        <v>1657.6000000000001</v>
      </c>
      <c r="E98" s="12">
        <v>123.7</v>
      </c>
      <c r="F98" s="12">
        <v>113.8</v>
      </c>
      <c r="G98" s="12">
        <v>124.5</v>
      </c>
      <c r="H98" s="4">
        <f>SUM('Working Data'!X98,'Working Data'!AB98)</f>
        <v>235.10000000000002</v>
      </c>
      <c r="I98" s="4">
        <f>SUM('Working Data'!U98,'Working Data'!W98)</f>
        <v>246.1</v>
      </c>
      <c r="J98" s="4">
        <f>SUM('Working Data'!R98,'Working Data'!S98,'Working Data'!T98)</f>
        <v>387.1</v>
      </c>
      <c r="K98" s="4">
        <f>SUM('Working Data'!AC98,'Working Data'!Z98,'Working Data'!Q98)</f>
        <v>369.4</v>
      </c>
      <c r="L98" s="4">
        <v>127</v>
      </c>
    </row>
    <row r="99" spans="1:12" hidden="1" x14ac:dyDescent="0.3">
      <c r="A99" s="2" t="s">
        <v>33</v>
      </c>
      <c r="B99" s="2">
        <v>2015</v>
      </c>
      <c r="C99" s="2" t="s">
        <v>42</v>
      </c>
      <c r="D99">
        <f>SUM(Table13[[#This Row],[Cereals and products]:[Food and beverages]])</f>
        <v>1664.8</v>
      </c>
      <c r="E99" s="13">
        <v>115.1</v>
      </c>
      <c r="F99" s="13">
        <v>109.1</v>
      </c>
      <c r="G99" s="13">
        <v>126.5</v>
      </c>
      <c r="H99" s="4">
        <f>SUM('Working Data'!X99,'Working Data'!AB99)</f>
        <v>230</v>
      </c>
      <c r="I99" s="4">
        <f>SUM('Working Data'!U99,'Working Data'!W99)</f>
        <v>242</v>
      </c>
      <c r="J99" s="4">
        <f>SUM('Working Data'!R99,'Working Data'!S99,'Working Data'!T99)</f>
        <v>365.8</v>
      </c>
      <c r="K99" s="4">
        <f>SUM('Working Data'!AC99,'Working Data'!Z99,'Working Data'!Q99)</f>
        <v>368.2</v>
      </c>
      <c r="L99" s="4">
        <v>123.5</v>
      </c>
    </row>
    <row r="100" spans="1:12" hidden="1" x14ac:dyDescent="0.3">
      <c r="A100" s="1" t="s">
        <v>34</v>
      </c>
      <c r="B100" s="1">
        <v>2015</v>
      </c>
      <c r="C100" s="1" t="s">
        <v>42</v>
      </c>
      <c r="D100">
        <f>SUM(Table13[[#This Row],[Cereals and products]:[Food and beverages]])</f>
        <v>1658.3000000000002</v>
      </c>
      <c r="E100" s="12">
        <v>120.4</v>
      </c>
      <c r="F100" s="12">
        <v>111.3</v>
      </c>
      <c r="G100" s="12">
        <v>125.7</v>
      </c>
      <c r="H100" s="4">
        <f>SUM('Working Data'!X100,'Working Data'!AB100)</f>
        <v>233.2</v>
      </c>
      <c r="I100" s="4">
        <f>SUM('Working Data'!U100,'Working Data'!W100)</f>
        <v>244.2</v>
      </c>
      <c r="J100" s="4">
        <f>SUM('Working Data'!R100,'Working Data'!S100,'Working Data'!T100)</f>
        <v>378.5</v>
      </c>
      <c r="K100" s="4">
        <f>SUM('Working Data'!AC100,'Working Data'!Z100,'Working Data'!Q100)</f>
        <v>367.8</v>
      </c>
      <c r="L100" s="4">
        <v>125.4</v>
      </c>
    </row>
    <row r="101" spans="1:12" hidden="1" x14ac:dyDescent="0.3">
      <c r="A101" s="2" t="s">
        <v>30</v>
      </c>
      <c r="B101" s="2">
        <v>2015</v>
      </c>
      <c r="C101" s="2" t="s">
        <v>43</v>
      </c>
      <c r="D101">
        <f>SUM(Table13[[#This Row],[Cereals and products]:[Food and beverages]])</f>
        <v>1674.6</v>
      </c>
      <c r="E101" s="13">
        <v>124.4</v>
      </c>
      <c r="F101" s="13">
        <v>113.8</v>
      </c>
      <c r="G101" s="13">
        <v>125.1</v>
      </c>
      <c r="H101" s="4">
        <f>SUM('Working Data'!X101,'Working Data'!AB101)</f>
        <v>236.2</v>
      </c>
      <c r="I101" s="4">
        <f>SUM('Working Data'!U101,'Working Data'!W101)</f>
        <v>247.5</v>
      </c>
      <c r="J101" s="4">
        <f>SUM('Working Data'!R101,'Working Data'!S101,'Working Data'!T101)</f>
        <v>389</v>
      </c>
      <c r="K101" s="4">
        <f>SUM('Working Data'!AC101,'Working Data'!Z101,'Working Data'!Q101)</f>
        <v>370.8</v>
      </c>
      <c r="L101" s="4">
        <v>127.7</v>
      </c>
    </row>
    <row r="102" spans="1:12" hidden="1" x14ac:dyDescent="0.3">
      <c r="A102" s="1" t="s">
        <v>33</v>
      </c>
      <c r="B102" s="1">
        <v>2015</v>
      </c>
      <c r="C102" s="1" t="s">
        <v>43</v>
      </c>
      <c r="D102">
        <f>SUM(Table13[[#This Row],[Cereals and products]:[Food and beverages]])</f>
        <v>1692.8000000000002</v>
      </c>
      <c r="E102" s="12">
        <v>114.9</v>
      </c>
      <c r="F102" s="12">
        <v>109.3</v>
      </c>
      <c r="G102" s="12">
        <v>126.5</v>
      </c>
      <c r="H102" s="4">
        <f>SUM('Working Data'!X102,'Working Data'!AB102)</f>
        <v>231.2</v>
      </c>
      <c r="I102" s="4">
        <f>SUM('Working Data'!U102,'Working Data'!W102)</f>
        <v>243.10000000000002</v>
      </c>
      <c r="J102" s="4">
        <f>SUM('Working Data'!R102,'Working Data'!S102,'Working Data'!T102)</f>
        <v>366.79999999999995</v>
      </c>
      <c r="K102" s="4">
        <f>SUM('Working Data'!AC102,'Working Data'!Z102,'Working Data'!Q102)</f>
        <v>369.5</v>
      </c>
      <c r="L102" s="4">
        <v>124.2</v>
      </c>
    </row>
    <row r="103" spans="1:12" hidden="1" x14ac:dyDescent="0.3">
      <c r="A103" s="2" t="s">
        <v>34</v>
      </c>
      <c r="B103" s="2">
        <v>2015</v>
      </c>
      <c r="C103" s="2" t="s">
        <v>43</v>
      </c>
      <c r="D103">
        <f>SUM(Table13[[#This Row],[Cereals and products]:[Food and beverages]])</f>
        <v>1678.9999999999998</v>
      </c>
      <c r="E103" s="13">
        <v>120.8</v>
      </c>
      <c r="F103" s="13">
        <v>111.4</v>
      </c>
      <c r="G103" s="13">
        <v>125.9</v>
      </c>
      <c r="H103" s="4">
        <f>SUM('Working Data'!X103,'Working Data'!AB103)</f>
        <v>234.3</v>
      </c>
      <c r="I103" s="4">
        <f>SUM('Working Data'!U103,'Working Data'!W103)</f>
        <v>245.4</v>
      </c>
      <c r="J103" s="4">
        <f>SUM('Working Data'!R103,'Working Data'!S103,'Working Data'!T103)</f>
        <v>380.1</v>
      </c>
      <c r="K103" s="4">
        <f>SUM('Working Data'!AC103,'Working Data'!Z103,'Working Data'!Q103)</f>
        <v>369.1</v>
      </c>
      <c r="L103" s="4">
        <v>126.1</v>
      </c>
    </row>
    <row r="104" spans="1:12" hidden="1" x14ac:dyDescent="0.3">
      <c r="A104" s="1" t="s">
        <v>30</v>
      </c>
      <c r="B104" s="1">
        <v>2015</v>
      </c>
      <c r="C104" s="1" t="s">
        <v>45</v>
      </c>
      <c r="D104">
        <f>SUM(Table13[[#This Row],[Cereals and products]:[Food and beverages]])</f>
        <v>1686.3</v>
      </c>
      <c r="E104" s="12">
        <v>125.6</v>
      </c>
      <c r="F104" s="12">
        <v>114</v>
      </c>
      <c r="G104" s="12">
        <v>125.8</v>
      </c>
      <c r="H104" s="4">
        <f>SUM('Working Data'!X104,'Working Data'!AB104)</f>
        <v>236.8</v>
      </c>
      <c r="I104" s="4">
        <f>SUM('Working Data'!U104,'Working Data'!W104)</f>
        <v>248.5</v>
      </c>
      <c r="J104" s="4">
        <f>SUM('Working Data'!R104,'Working Data'!S104,'Working Data'!T104)</f>
        <v>391.79999999999995</v>
      </c>
      <c r="K104" s="4">
        <f>SUM('Working Data'!AC104,'Working Data'!Z104,'Working Data'!Q104)</f>
        <v>372.7</v>
      </c>
      <c r="L104" s="4">
        <v>128.30000000000001</v>
      </c>
    </row>
    <row r="105" spans="1:12" hidden="1" x14ac:dyDescent="0.3">
      <c r="A105" s="2" t="s">
        <v>33</v>
      </c>
      <c r="B105" s="2">
        <v>2015</v>
      </c>
      <c r="C105" s="2" t="s">
        <v>45</v>
      </c>
      <c r="D105">
        <f>SUM(Table13[[#This Row],[Cereals and products]:[Food and beverages]])</f>
        <v>1708.4999999999998</v>
      </c>
      <c r="E105" s="13">
        <v>115.1</v>
      </c>
      <c r="F105" s="13">
        <v>109.3</v>
      </c>
      <c r="G105" s="13">
        <v>126.6</v>
      </c>
      <c r="H105" s="4">
        <f>SUM('Working Data'!X105,'Working Data'!AB105)</f>
        <v>231.39999999999998</v>
      </c>
      <c r="I105" s="4">
        <f>SUM('Working Data'!U105,'Working Data'!W105)</f>
        <v>243.9</v>
      </c>
      <c r="J105" s="4">
        <f>SUM('Working Data'!R105,'Working Data'!S105,'Working Data'!T105)</f>
        <v>368.5</v>
      </c>
      <c r="K105" s="4">
        <f>SUM('Working Data'!AC105,'Working Data'!Z105,'Working Data'!Q105)</f>
        <v>372.1</v>
      </c>
      <c r="L105" s="4">
        <v>124.6</v>
      </c>
    </row>
    <row r="106" spans="1:12" hidden="1" x14ac:dyDescent="0.3">
      <c r="A106" s="1" t="s">
        <v>34</v>
      </c>
      <c r="B106" s="1">
        <v>2015</v>
      </c>
      <c r="C106" s="1" t="s">
        <v>45</v>
      </c>
      <c r="D106">
        <f>SUM(Table13[[#This Row],[Cereals and products]:[Food and beverages]])</f>
        <v>1692.1</v>
      </c>
      <c r="E106" s="12">
        <v>121.6</v>
      </c>
      <c r="F106" s="12">
        <v>111.5</v>
      </c>
      <c r="G106" s="12">
        <v>126.3</v>
      </c>
      <c r="H106" s="4">
        <f>SUM('Working Data'!X106,'Working Data'!AB106)</f>
        <v>234.7</v>
      </c>
      <c r="I106" s="4">
        <f>SUM('Working Data'!U106,'Working Data'!W106)</f>
        <v>246.3</v>
      </c>
      <c r="J106" s="4">
        <f>SUM('Working Data'!R106,'Working Data'!S106,'Working Data'!T106)</f>
        <v>382.4</v>
      </c>
      <c r="K106" s="4">
        <f>SUM('Working Data'!AC106,'Working Data'!Z106,'Working Data'!Q106)</f>
        <v>370.9</v>
      </c>
      <c r="L106" s="4">
        <v>126.6</v>
      </c>
    </row>
    <row r="107" spans="1:12" hidden="1" x14ac:dyDescent="0.3">
      <c r="A107" s="2" t="s">
        <v>30</v>
      </c>
      <c r="B107" s="2">
        <v>2015</v>
      </c>
      <c r="C107" s="2" t="s">
        <v>46</v>
      </c>
      <c r="D107">
        <f>SUM(Table13[[#This Row],[Cereals and products]:[Food and beverages]])</f>
        <v>1682.3000000000002</v>
      </c>
      <c r="E107" s="13">
        <v>125.7</v>
      </c>
      <c r="F107" s="13">
        <v>114</v>
      </c>
      <c r="G107" s="13">
        <v>125.6</v>
      </c>
      <c r="H107" s="4">
        <f>SUM('Working Data'!X107,'Working Data'!AB107)</f>
        <v>237.2</v>
      </c>
      <c r="I107" s="4">
        <f>SUM('Working Data'!U107,'Working Data'!W107)</f>
        <v>248.4</v>
      </c>
      <c r="J107" s="4">
        <f>SUM('Working Data'!R107,'Working Data'!S107,'Working Data'!T107)</f>
        <v>392.9</v>
      </c>
      <c r="K107" s="4">
        <f>SUM('Working Data'!AC107,'Working Data'!Z107,'Working Data'!Q107)</f>
        <v>374.5</v>
      </c>
      <c r="L107" s="4">
        <v>127.9</v>
      </c>
    </row>
    <row r="108" spans="1:12" hidden="1" x14ac:dyDescent="0.3">
      <c r="A108" s="1" t="s">
        <v>33</v>
      </c>
      <c r="B108" s="1">
        <v>2015</v>
      </c>
      <c r="C108" s="1" t="s">
        <v>46</v>
      </c>
      <c r="D108">
        <f>SUM(Table13[[#This Row],[Cereals and products]:[Food and beverages]])</f>
        <v>1698.8</v>
      </c>
      <c r="E108" s="12">
        <v>116</v>
      </c>
      <c r="F108" s="12">
        <v>109.3</v>
      </c>
      <c r="G108" s="12">
        <v>126.6</v>
      </c>
      <c r="H108" s="4">
        <f>SUM('Working Data'!X108,'Working Data'!AB108)</f>
        <v>231.8</v>
      </c>
      <c r="I108" s="4">
        <f>SUM('Working Data'!U108,'Working Data'!W108)</f>
        <v>243.4</v>
      </c>
      <c r="J108" s="4">
        <f>SUM('Working Data'!R108,'Working Data'!S108,'Working Data'!T108)</f>
        <v>369.4</v>
      </c>
      <c r="K108" s="4">
        <f>SUM('Working Data'!AC108,'Working Data'!Z108,'Working Data'!Q108)</f>
        <v>373</v>
      </c>
      <c r="L108" s="4">
        <v>124</v>
      </c>
    </row>
    <row r="109" spans="1:12" hidden="1" x14ac:dyDescent="0.3">
      <c r="A109" s="2" t="s">
        <v>34</v>
      </c>
      <c r="B109" s="2">
        <v>2015</v>
      </c>
      <c r="C109" s="2" t="s">
        <v>46</v>
      </c>
      <c r="D109">
        <f>SUM(Table13[[#This Row],[Cereals and products]:[Food and beverages]])</f>
        <v>1686.1000000000001</v>
      </c>
      <c r="E109" s="13">
        <v>122</v>
      </c>
      <c r="F109" s="13">
        <v>111.5</v>
      </c>
      <c r="G109" s="13">
        <v>126.2</v>
      </c>
      <c r="H109" s="4">
        <f>SUM('Working Data'!X109,'Working Data'!AB109)</f>
        <v>235.10000000000002</v>
      </c>
      <c r="I109" s="4">
        <f>SUM('Working Data'!U109,'Working Data'!W109)</f>
        <v>246</v>
      </c>
      <c r="J109" s="4">
        <f>SUM('Working Data'!R109,'Working Data'!S109,'Working Data'!T109)</f>
        <v>383.5</v>
      </c>
      <c r="K109" s="4">
        <f>SUM('Working Data'!AC109,'Working Data'!Z109,'Working Data'!Q109)</f>
        <v>372.4</v>
      </c>
      <c r="L109" s="4">
        <v>126.1</v>
      </c>
    </row>
    <row r="110" spans="1:12" hidden="1" x14ac:dyDescent="0.3">
      <c r="A110" s="1" t="s">
        <v>30</v>
      </c>
      <c r="B110" s="1">
        <v>2016</v>
      </c>
      <c r="C110" s="1" t="s">
        <v>31</v>
      </c>
      <c r="D110">
        <f>SUM(Table13[[#This Row],[Cereals and products]:[Food and beverages]])</f>
        <v>1690.1000000000001</v>
      </c>
      <c r="E110" s="12">
        <v>126.2</v>
      </c>
      <c r="F110" s="12">
        <v>113.6</v>
      </c>
      <c r="G110" s="12">
        <v>126.2</v>
      </c>
      <c r="H110" s="4">
        <f>SUM('Working Data'!X110,'Working Data'!AB110)</f>
        <v>238.60000000000002</v>
      </c>
      <c r="I110" s="4">
        <f>SUM('Working Data'!U110,'Working Data'!W110)</f>
        <v>250</v>
      </c>
      <c r="J110" s="4">
        <f>SUM('Working Data'!R110,'Working Data'!S110,'Working Data'!T110)</f>
        <v>394.70000000000005</v>
      </c>
      <c r="K110" s="4">
        <f>SUM('Working Data'!AC110,'Working Data'!Z110,'Working Data'!Q110)</f>
        <v>375.1</v>
      </c>
      <c r="L110" s="4">
        <v>128.1</v>
      </c>
    </row>
    <row r="111" spans="1:12" hidden="1" x14ac:dyDescent="0.3">
      <c r="A111" s="2" t="s">
        <v>33</v>
      </c>
      <c r="B111" s="2">
        <v>2016</v>
      </c>
      <c r="C111" s="2" t="s">
        <v>31</v>
      </c>
      <c r="D111">
        <f>SUM(Table13[[#This Row],[Cereals and products]:[Food and beverages]])</f>
        <v>1701.4</v>
      </c>
      <c r="E111" s="13">
        <v>116.9</v>
      </c>
      <c r="F111" s="13">
        <v>108.9</v>
      </c>
      <c r="G111" s="13">
        <v>126.4</v>
      </c>
      <c r="H111" s="4">
        <f>SUM('Working Data'!X111,'Working Data'!AB111)</f>
        <v>233.1</v>
      </c>
      <c r="I111" s="4">
        <f>SUM('Working Data'!U111,'Working Data'!W111)</f>
        <v>245</v>
      </c>
      <c r="J111" s="4">
        <f>SUM('Working Data'!R111,'Working Data'!S111,'Working Data'!T111)</f>
        <v>370.5</v>
      </c>
      <c r="K111" s="4">
        <f>SUM('Working Data'!AC111,'Working Data'!Z111,'Working Data'!Q111)</f>
        <v>374.8</v>
      </c>
      <c r="L111" s="4">
        <v>124.2</v>
      </c>
    </row>
    <row r="112" spans="1:12" hidden="1" x14ac:dyDescent="0.3">
      <c r="A112" s="1" t="s">
        <v>34</v>
      </c>
      <c r="B112" s="1">
        <v>2016</v>
      </c>
      <c r="C112" s="1" t="s">
        <v>31</v>
      </c>
      <c r="D112">
        <f>SUM(Table13[[#This Row],[Cereals and products]:[Food and beverages]])</f>
        <v>1691.7</v>
      </c>
      <c r="E112" s="12">
        <v>122.7</v>
      </c>
      <c r="F112" s="12">
        <v>111.1</v>
      </c>
      <c r="G112" s="12">
        <v>126.3</v>
      </c>
      <c r="H112" s="4">
        <f>SUM('Working Data'!X112,'Working Data'!AB112)</f>
        <v>236.5</v>
      </c>
      <c r="I112" s="4">
        <f>SUM('Working Data'!U112,'Working Data'!W112)</f>
        <v>247.60000000000002</v>
      </c>
      <c r="J112" s="4">
        <f>SUM('Working Data'!R112,'Working Data'!S112,'Working Data'!T112)</f>
        <v>384.9</v>
      </c>
      <c r="K112" s="4">
        <f>SUM('Working Data'!AC112,'Working Data'!Z112,'Working Data'!Q112)</f>
        <v>373.5</v>
      </c>
      <c r="L112" s="4">
        <v>126.3</v>
      </c>
    </row>
    <row r="113" spans="1:12" hidden="1" x14ac:dyDescent="0.3">
      <c r="A113" s="2" t="s">
        <v>30</v>
      </c>
      <c r="B113" s="2">
        <v>2016</v>
      </c>
      <c r="C113" s="2" t="s">
        <v>35</v>
      </c>
      <c r="D113">
        <f>SUM(Table13[[#This Row],[Cereals and products]:[Food and beverages]])</f>
        <v>1682.6</v>
      </c>
      <c r="E113" s="13">
        <v>127.5</v>
      </c>
      <c r="F113" s="13">
        <v>113.9</v>
      </c>
      <c r="G113" s="13">
        <v>127.1</v>
      </c>
      <c r="H113" s="4">
        <f>SUM('Working Data'!X113,'Working Data'!AB113)</f>
        <v>241.1</v>
      </c>
      <c r="I113" s="4">
        <f>SUM('Working Data'!U113,'Working Data'!W113)</f>
        <v>251.5</v>
      </c>
      <c r="J113" s="4">
        <f>SUM('Working Data'!R113,'Working Data'!S113,'Working Data'!T113)</f>
        <v>397.1</v>
      </c>
      <c r="K113" s="4">
        <f>SUM('Working Data'!AC113,'Working Data'!Z113,'Working Data'!Q113)</f>
        <v>377.6</v>
      </c>
      <c r="L113" s="4">
        <v>127.9</v>
      </c>
    </row>
    <row r="114" spans="1:12" hidden="1" x14ac:dyDescent="0.3">
      <c r="A114" s="1" t="s">
        <v>33</v>
      </c>
      <c r="B114" s="1">
        <v>2016</v>
      </c>
      <c r="C114" s="1" t="s">
        <v>35</v>
      </c>
      <c r="D114">
        <f>SUM(Table13[[#This Row],[Cereals and products]:[Food and beverages]])</f>
        <v>1676.1</v>
      </c>
      <c r="E114" s="12">
        <v>116</v>
      </c>
      <c r="F114" s="12">
        <v>109.1</v>
      </c>
      <c r="G114" s="12">
        <v>126.3</v>
      </c>
      <c r="H114" s="4">
        <f>SUM('Working Data'!X114,'Working Data'!AB114)</f>
        <v>235.7</v>
      </c>
      <c r="I114" s="4">
        <f>SUM('Working Data'!U114,'Working Data'!W114)</f>
        <v>246.2</v>
      </c>
      <c r="J114" s="4">
        <f>SUM('Working Data'!R114,'Working Data'!S114,'Working Data'!T114)</f>
        <v>371.6</v>
      </c>
      <c r="K114" s="4">
        <f>SUM('Working Data'!AC114,'Working Data'!Z114,'Working Data'!Q114)</f>
        <v>376</v>
      </c>
      <c r="L114" s="4">
        <v>123.8</v>
      </c>
    </row>
    <row r="115" spans="1:12" hidden="1" x14ac:dyDescent="0.3">
      <c r="A115" s="2" t="s">
        <v>34</v>
      </c>
      <c r="B115" s="2">
        <v>2016</v>
      </c>
      <c r="C115" s="2" t="s">
        <v>35</v>
      </c>
      <c r="D115">
        <f>SUM(Table13[[#This Row],[Cereals and products]:[Food and beverages]])</f>
        <v>1678.1</v>
      </c>
      <c r="E115" s="13">
        <v>123.1</v>
      </c>
      <c r="F115" s="13">
        <v>111.4</v>
      </c>
      <c r="G115" s="13">
        <v>126.6</v>
      </c>
      <c r="H115" s="4">
        <f>SUM('Working Data'!X115,'Working Data'!AB115)</f>
        <v>239.1</v>
      </c>
      <c r="I115" s="4">
        <f>SUM('Working Data'!U115,'Working Data'!W115)</f>
        <v>249</v>
      </c>
      <c r="J115" s="4">
        <f>SUM('Working Data'!R115,'Working Data'!S115,'Working Data'!T115)</f>
        <v>386.9</v>
      </c>
      <c r="K115" s="4">
        <f>SUM('Working Data'!AC115,'Working Data'!Z115,'Working Data'!Q115)</f>
        <v>375.29999999999995</v>
      </c>
      <c r="L115" s="4">
        <v>126</v>
      </c>
    </row>
    <row r="116" spans="1:12" hidden="1" x14ac:dyDescent="0.3">
      <c r="A116" s="1" t="s">
        <v>30</v>
      </c>
      <c r="B116" s="1">
        <v>2016</v>
      </c>
      <c r="C116" s="1" t="s">
        <v>36</v>
      </c>
      <c r="D116">
        <f>SUM(Table13[[#This Row],[Cereals and products]:[Food and beverages]])</f>
        <v>1682.7000000000003</v>
      </c>
      <c r="E116" s="12">
        <v>127</v>
      </c>
      <c r="F116" s="12">
        <v>113.6</v>
      </c>
      <c r="G116" s="12">
        <v>127.5</v>
      </c>
      <c r="H116" s="4">
        <f>SUM('Working Data'!X116,'Working Data'!AB116)</f>
        <v>242.2</v>
      </c>
      <c r="I116" s="4">
        <f>SUM('Working Data'!U116,'Working Data'!W116)</f>
        <v>252.60000000000002</v>
      </c>
      <c r="J116" s="4">
        <f>SUM('Working Data'!R116,'Working Data'!S116,'Working Data'!T116)</f>
        <v>398.40000000000003</v>
      </c>
      <c r="K116" s="4">
        <f>SUM('Working Data'!AC116,'Working Data'!Z116,'Working Data'!Q116)</f>
        <v>378.6</v>
      </c>
      <c r="L116" s="4">
        <v>128</v>
      </c>
    </row>
    <row r="117" spans="1:12" hidden="1" x14ac:dyDescent="0.3">
      <c r="A117" s="2" t="s">
        <v>33</v>
      </c>
      <c r="B117" s="2">
        <v>2016</v>
      </c>
      <c r="C117" s="2" t="s">
        <v>36</v>
      </c>
      <c r="D117">
        <f>SUM(Table13[[#This Row],[Cereals and products]:[Food and beverages]])</f>
        <v>1667.6000000000001</v>
      </c>
      <c r="E117" s="13">
        <v>114.8</v>
      </c>
      <c r="F117" s="13">
        <v>108.5</v>
      </c>
      <c r="G117" s="13">
        <v>126.4</v>
      </c>
      <c r="H117" s="4">
        <f>SUM('Working Data'!X117,'Working Data'!AB117)</f>
        <v>236.8</v>
      </c>
      <c r="I117" s="4">
        <f>SUM('Working Data'!U117,'Working Data'!W117)</f>
        <v>247.2</v>
      </c>
      <c r="J117" s="4">
        <f>SUM('Working Data'!R117,'Working Data'!S117,'Working Data'!T117)</f>
        <v>372.2</v>
      </c>
      <c r="K117" s="4">
        <f>SUM('Working Data'!AC117,'Working Data'!Z117,'Working Data'!Q117)</f>
        <v>377</v>
      </c>
      <c r="L117" s="4">
        <v>123.8</v>
      </c>
    </row>
    <row r="118" spans="1:12" hidden="1" x14ac:dyDescent="0.3">
      <c r="A118" s="1" t="s">
        <v>34</v>
      </c>
      <c r="B118" s="1">
        <v>2016</v>
      </c>
      <c r="C118" s="1" t="s">
        <v>36</v>
      </c>
      <c r="D118">
        <f>SUM(Table13[[#This Row],[Cereals and products]:[Food and beverages]])</f>
        <v>1675.2</v>
      </c>
      <c r="E118" s="12">
        <v>122.4</v>
      </c>
      <c r="F118" s="12">
        <v>110.9</v>
      </c>
      <c r="G118" s="12">
        <v>126.9</v>
      </c>
      <c r="H118" s="4">
        <f>SUM('Working Data'!X118,'Working Data'!AB118)</f>
        <v>240.2</v>
      </c>
      <c r="I118" s="4">
        <f>SUM('Working Data'!U118,'Working Data'!W118)</f>
        <v>250</v>
      </c>
      <c r="J118" s="4">
        <f>SUM('Working Data'!R118,'Working Data'!S118,'Working Data'!T118)</f>
        <v>387.9</v>
      </c>
      <c r="K118" s="4">
        <f>SUM('Working Data'!AC118,'Working Data'!Z118,'Working Data'!Q118)</f>
        <v>376.4</v>
      </c>
      <c r="L118" s="4">
        <v>126</v>
      </c>
    </row>
    <row r="119" spans="1:12" hidden="1" x14ac:dyDescent="0.3">
      <c r="A119" s="2" t="s">
        <v>30</v>
      </c>
      <c r="B119" s="2">
        <v>2016</v>
      </c>
      <c r="C119" s="2" t="s">
        <v>37</v>
      </c>
      <c r="D119">
        <f>SUM(Table13[[#This Row],[Cereals and products]:[Food and beverages]])</f>
        <v>1701.6000000000004</v>
      </c>
      <c r="E119" s="13">
        <v>127</v>
      </c>
      <c r="F119" s="13">
        <v>114.4</v>
      </c>
      <c r="G119" s="13">
        <v>127.9</v>
      </c>
      <c r="H119" s="4">
        <f>SUM('Working Data'!X119,'Working Data'!AB119)</f>
        <v>243.60000000000002</v>
      </c>
      <c r="I119" s="4">
        <f>SUM('Working Data'!U119,'Working Data'!W119)</f>
        <v>253.6</v>
      </c>
      <c r="J119" s="4">
        <f>SUM('Working Data'!R119,'Working Data'!S119,'Working Data'!T119)</f>
        <v>400</v>
      </c>
      <c r="K119" s="4">
        <f>SUM('Working Data'!AC119,'Working Data'!Z119,'Working Data'!Q119)</f>
        <v>380.4</v>
      </c>
      <c r="L119" s="4">
        <v>129</v>
      </c>
    </row>
    <row r="120" spans="1:12" hidden="1" x14ac:dyDescent="0.3">
      <c r="A120" s="1" t="s">
        <v>33</v>
      </c>
      <c r="B120" s="1">
        <v>2016</v>
      </c>
      <c r="C120" s="1" t="s">
        <v>37</v>
      </c>
      <c r="D120">
        <f>SUM(Table13[[#This Row],[Cereals and products]:[Food and beverages]])</f>
        <v>1706.3</v>
      </c>
      <c r="E120" s="12">
        <v>114.6</v>
      </c>
      <c r="F120" s="12">
        <v>110</v>
      </c>
      <c r="G120" s="12">
        <v>127.6</v>
      </c>
      <c r="H120" s="4">
        <f>SUM('Working Data'!X120,'Working Data'!AB120)</f>
        <v>237.6</v>
      </c>
      <c r="I120" s="4">
        <f>SUM('Working Data'!U120,'Working Data'!W120)</f>
        <v>248.39999999999998</v>
      </c>
      <c r="J120" s="4">
        <f>SUM('Working Data'!R120,'Working Data'!S120,'Working Data'!T120)</f>
        <v>373.1</v>
      </c>
      <c r="K120" s="4">
        <f>SUM('Working Data'!AC120,'Working Data'!Z120,'Working Data'!Q120)</f>
        <v>379.2</v>
      </c>
      <c r="L120" s="4">
        <v>125.3</v>
      </c>
    </row>
    <row r="121" spans="1:12" hidden="1" x14ac:dyDescent="0.3">
      <c r="A121" s="2" t="s">
        <v>34</v>
      </c>
      <c r="B121" s="2">
        <v>2016</v>
      </c>
      <c r="C121" s="2" t="s">
        <v>37</v>
      </c>
      <c r="D121">
        <f>SUM(Table13[[#This Row],[Cereals and products]:[Food and beverages]])</f>
        <v>1701.3</v>
      </c>
      <c r="E121" s="13">
        <v>122.3</v>
      </c>
      <c r="F121" s="13">
        <v>112.1</v>
      </c>
      <c r="G121" s="13">
        <v>127.7</v>
      </c>
      <c r="H121" s="4">
        <f>SUM('Working Data'!X121,'Working Data'!AB121)</f>
        <v>241.3</v>
      </c>
      <c r="I121" s="4">
        <f>SUM('Working Data'!U121,'Working Data'!W121)</f>
        <v>251.1</v>
      </c>
      <c r="J121" s="4">
        <f>SUM('Working Data'!R121,'Working Data'!S121,'Working Data'!T121)</f>
        <v>389.20000000000005</v>
      </c>
      <c r="K121" s="4">
        <f>SUM('Working Data'!AC121,'Working Data'!Z121,'Working Data'!Q121)</f>
        <v>378.2</v>
      </c>
      <c r="L121" s="4">
        <v>127.3</v>
      </c>
    </row>
    <row r="122" spans="1:12" hidden="1" x14ac:dyDescent="0.3">
      <c r="A122" s="1" t="s">
        <v>30</v>
      </c>
      <c r="B122" s="1">
        <v>2016</v>
      </c>
      <c r="C122" s="1" t="s">
        <v>38</v>
      </c>
      <c r="D122">
        <f>SUM(Table13[[#This Row],[Cereals and products]:[Food and beverages]])</f>
        <v>1723.6999999999998</v>
      </c>
      <c r="E122" s="12">
        <v>127.4</v>
      </c>
      <c r="F122" s="12">
        <v>115.1</v>
      </c>
      <c r="G122" s="12">
        <v>129.1</v>
      </c>
      <c r="H122" s="4">
        <f>SUM('Working Data'!X122,'Working Data'!AB122)</f>
        <v>245.5</v>
      </c>
      <c r="I122" s="4">
        <f>SUM('Working Data'!U122,'Working Data'!W122)</f>
        <v>254.5</v>
      </c>
      <c r="J122" s="4">
        <f>SUM('Working Data'!R122,'Working Data'!S122,'Working Data'!T122)</f>
        <v>401.3</v>
      </c>
      <c r="K122" s="4">
        <f>SUM('Working Data'!AC122,'Working Data'!Z122,'Working Data'!Q122)</f>
        <v>382.1</v>
      </c>
      <c r="L122" s="4">
        <v>130.30000000000001</v>
      </c>
    </row>
    <row r="123" spans="1:12" hidden="1" x14ac:dyDescent="0.3">
      <c r="A123" s="2" t="s">
        <v>33</v>
      </c>
      <c r="B123" s="2">
        <v>2016</v>
      </c>
      <c r="C123" s="2" t="s">
        <v>38</v>
      </c>
      <c r="D123">
        <f>SUM(Table13[[#This Row],[Cereals and products]:[Food and beverages]])</f>
        <v>1746.7999999999997</v>
      </c>
      <c r="E123" s="13">
        <v>115</v>
      </c>
      <c r="F123" s="13">
        <v>110.7</v>
      </c>
      <c r="G123" s="13">
        <v>128</v>
      </c>
      <c r="H123" s="4">
        <f>SUM('Working Data'!X123,'Working Data'!AB123)</f>
        <v>238.8</v>
      </c>
      <c r="I123" s="4">
        <f>SUM('Working Data'!U123,'Working Data'!W123)</f>
        <v>249.2</v>
      </c>
      <c r="J123" s="4">
        <f>SUM('Working Data'!R123,'Working Data'!S123,'Working Data'!T123)</f>
        <v>374.1</v>
      </c>
      <c r="K123" s="4">
        <f>SUM('Working Data'!AC123,'Working Data'!Z123,'Working Data'!Q123)</f>
        <v>380.7</v>
      </c>
      <c r="L123" s="4">
        <v>126.6</v>
      </c>
    </row>
    <row r="124" spans="1:12" hidden="1" x14ac:dyDescent="0.3">
      <c r="A124" s="1" t="s">
        <v>34</v>
      </c>
      <c r="B124" s="1">
        <v>2016</v>
      </c>
      <c r="C124" s="1" t="s">
        <v>38</v>
      </c>
      <c r="D124">
        <f>SUM(Table13[[#This Row],[Cereals and products]:[Food and beverages]])</f>
        <v>1730.4</v>
      </c>
      <c r="E124" s="12">
        <v>122.7</v>
      </c>
      <c r="F124" s="12">
        <v>112.8</v>
      </c>
      <c r="G124" s="12">
        <v>128.5</v>
      </c>
      <c r="H124" s="4">
        <f>SUM('Working Data'!X124,'Working Data'!AB124)</f>
        <v>242.9</v>
      </c>
      <c r="I124" s="4">
        <f>SUM('Working Data'!U124,'Working Data'!W124)</f>
        <v>252</v>
      </c>
      <c r="J124" s="4">
        <f>SUM('Working Data'!R124,'Working Data'!S124,'Working Data'!T124)</f>
        <v>390.4</v>
      </c>
      <c r="K124" s="4">
        <f>SUM('Working Data'!AC124,'Working Data'!Z124,'Working Data'!Q124)</f>
        <v>379.9</v>
      </c>
      <c r="L124" s="4">
        <v>128.6</v>
      </c>
    </row>
    <row r="125" spans="1:12" hidden="1" x14ac:dyDescent="0.3">
      <c r="A125" s="2" t="s">
        <v>30</v>
      </c>
      <c r="B125" s="2">
        <v>2016</v>
      </c>
      <c r="C125" s="2" t="s">
        <v>39</v>
      </c>
      <c r="D125">
        <f>SUM(Table13[[#This Row],[Cereals and products]:[Food and beverages]])</f>
        <v>1748.6</v>
      </c>
      <c r="E125" s="13">
        <v>128</v>
      </c>
      <c r="F125" s="13">
        <v>116.3</v>
      </c>
      <c r="G125" s="13">
        <v>130.19999999999999</v>
      </c>
      <c r="H125" s="4">
        <f>SUM('Working Data'!X125,'Working Data'!AB125)</f>
        <v>246.10000000000002</v>
      </c>
      <c r="I125" s="4">
        <f>SUM('Working Data'!U125,'Working Data'!W125)</f>
        <v>254.8</v>
      </c>
      <c r="J125" s="4">
        <f>SUM('Working Data'!R125,'Working Data'!S125,'Working Data'!T125)</f>
        <v>403.5</v>
      </c>
      <c r="K125" s="4">
        <f>SUM('Working Data'!AC125,'Working Data'!Z125,'Working Data'!Q125)</f>
        <v>384.59999999999997</v>
      </c>
      <c r="L125" s="4">
        <v>131.9</v>
      </c>
    </row>
    <row r="126" spans="1:12" hidden="1" x14ac:dyDescent="0.3">
      <c r="A126" s="1" t="s">
        <v>33</v>
      </c>
      <c r="B126" s="1">
        <v>2016</v>
      </c>
      <c r="C126" s="1" t="s">
        <v>39</v>
      </c>
      <c r="D126">
        <f>SUM(Table13[[#This Row],[Cereals and products]:[Food and beverages]])</f>
        <v>1787.0000000000002</v>
      </c>
      <c r="E126" s="12">
        <v>115.5</v>
      </c>
      <c r="F126" s="12">
        <v>112.3</v>
      </c>
      <c r="G126" s="12">
        <v>129.30000000000001</v>
      </c>
      <c r="H126" s="4">
        <f>SUM('Working Data'!X126,'Working Data'!AB126)</f>
        <v>239.39999999999998</v>
      </c>
      <c r="I126" s="4">
        <f>SUM('Working Data'!U126,'Working Data'!W126)</f>
        <v>248.7</v>
      </c>
      <c r="J126" s="4">
        <f>SUM('Working Data'!R126,'Working Data'!S126,'Working Data'!T126)</f>
        <v>375.29999999999995</v>
      </c>
      <c r="K126" s="4">
        <f>SUM('Working Data'!AC126,'Working Data'!Z126,'Working Data'!Q126)</f>
        <v>382.2</v>
      </c>
      <c r="L126" s="4">
        <v>128.1</v>
      </c>
    </row>
    <row r="127" spans="1:12" hidden="1" x14ac:dyDescent="0.3">
      <c r="A127" s="2" t="s">
        <v>34</v>
      </c>
      <c r="B127" s="2">
        <v>2016</v>
      </c>
      <c r="C127" s="2" t="s">
        <v>39</v>
      </c>
      <c r="D127">
        <f>SUM(Table13[[#This Row],[Cereals and products]:[Food and beverages]])</f>
        <v>1760.6</v>
      </c>
      <c r="E127" s="13">
        <v>123.3</v>
      </c>
      <c r="F127" s="13">
        <v>114.2</v>
      </c>
      <c r="G127" s="13">
        <v>129.69999999999999</v>
      </c>
      <c r="H127" s="4">
        <f>SUM('Working Data'!X127,'Working Data'!AB127)</f>
        <v>243.5</v>
      </c>
      <c r="I127" s="4">
        <f>SUM('Working Data'!U127,'Working Data'!W127)</f>
        <v>251.9</v>
      </c>
      <c r="J127" s="4">
        <f>SUM('Working Data'!R127,'Working Data'!S127,'Working Data'!T127)</f>
        <v>392.1</v>
      </c>
      <c r="K127" s="4">
        <f>SUM('Working Data'!AC127,'Working Data'!Z127,'Working Data'!Q127)</f>
        <v>381.9</v>
      </c>
      <c r="L127" s="4">
        <v>130.1</v>
      </c>
    </row>
    <row r="128" spans="1:12" hidden="1" x14ac:dyDescent="0.3">
      <c r="A128" s="1" t="s">
        <v>30</v>
      </c>
      <c r="B128" s="1">
        <v>2016</v>
      </c>
      <c r="C128" s="1" t="s">
        <v>40</v>
      </c>
      <c r="D128">
        <f>SUM(Table13[[#This Row],[Cereals and products]:[Food and beverages]])</f>
        <v>1770.2999999999997</v>
      </c>
      <c r="E128" s="12">
        <v>128.19999999999999</v>
      </c>
      <c r="F128" s="12">
        <v>116.4</v>
      </c>
      <c r="G128" s="12">
        <v>130.80000000000001</v>
      </c>
      <c r="H128" s="4">
        <f>SUM('Working Data'!X128,'Working Data'!AB128)</f>
        <v>247.60000000000002</v>
      </c>
      <c r="I128" s="4">
        <f>SUM('Working Data'!U128,'Working Data'!W128)</f>
        <v>256.39999999999998</v>
      </c>
      <c r="J128" s="4">
        <f>SUM('Working Data'!R128,'Working Data'!S128,'Working Data'!T128)</f>
        <v>405.9</v>
      </c>
      <c r="K128" s="4">
        <f>SUM('Working Data'!AC128,'Working Data'!Z128,'Working Data'!Q128)</f>
        <v>387</v>
      </c>
      <c r="L128" s="4">
        <v>133</v>
      </c>
    </row>
    <row r="129" spans="1:12" hidden="1" x14ac:dyDescent="0.3">
      <c r="A129" s="2" t="s">
        <v>33</v>
      </c>
      <c r="B129" s="2">
        <v>2016</v>
      </c>
      <c r="C129" s="2" t="s">
        <v>40</v>
      </c>
      <c r="D129">
        <f>SUM(Table13[[#This Row],[Cereals and products]:[Food and beverages]])</f>
        <v>1811.5000000000002</v>
      </c>
      <c r="E129" s="13">
        <v>115.5</v>
      </c>
      <c r="F129" s="13">
        <v>111.7</v>
      </c>
      <c r="G129" s="13">
        <v>130.80000000000001</v>
      </c>
      <c r="H129" s="4">
        <f>SUM('Working Data'!X129,'Working Data'!AB129)</f>
        <v>240.9</v>
      </c>
      <c r="I129" s="4">
        <f>SUM('Working Data'!U129,'Working Data'!W129)</f>
        <v>249.9</v>
      </c>
      <c r="J129" s="4">
        <f>SUM('Working Data'!R129,'Working Data'!S129,'Working Data'!T129)</f>
        <v>375.9</v>
      </c>
      <c r="K129" s="4">
        <f>SUM('Working Data'!AC129,'Working Data'!Z129,'Working Data'!Q129)</f>
        <v>383.1</v>
      </c>
      <c r="L129" s="4">
        <v>129</v>
      </c>
    </row>
    <row r="130" spans="1:12" hidden="1" x14ac:dyDescent="0.3">
      <c r="A130" s="1" t="s">
        <v>34</v>
      </c>
      <c r="B130" s="1">
        <v>2016</v>
      </c>
      <c r="C130" s="1" t="s">
        <v>40</v>
      </c>
      <c r="D130">
        <f>SUM(Table13[[#This Row],[Cereals and products]:[Food and beverages]])</f>
        <v>1783.5</v>
      </c>
      <c r="E130" s="12">
        <v>123.4</v>
      </c>
      <c r="F130" s="12">
        <v>113.9</v>
      </c>
      <c r="G130" s="12">
        <v>130.80000000000001</v>
      </c>
      <c r="H130" s="4">
        <f>SUM('Working Data'!X130,'Working Data'!AB130)</f>
        <v>245</v>
      </c>
      <c r="I130" s="4">
        <f>SUM('Working Data'!U130,'Working Data'!W130)</f>
        <v>253.3</v>
      </c>
      <c r="J130" s="4">
        <f>SUM('Working Data'!R130,'Working Data'!S130,'Working Data'!T130)</f>
        <v>393.8</v>
      </c>
      <c r="K130" s="4">
        <f>SUM('Working Data'!AC130,'Working Data'!Z130,'Working Data'!Q130)</f>
        <v>383.6</v>
      </c>
      <c r="L130" s="4">
        <v>131.1</v>
      </c>
    </row>
    <row r="131" spans="1:12" hidden="1" x14ac:dyDescent="0.3">
      <c r="A131" s="2" t="s">
        <v>30</v>
      </c>
      <c r="B131" s="2">
        <v>2016</v>
      </c>
      <c r="C131" s="2" t="s">
        <v>41</v>
      </c>
      <c r="D131">
        <f>SUM(Table13[[#This Row],[Cereals and products]:[Food and beverages]])</f>
        <v>1777.4999999999998</v>
      </c>
      <c r="E131" s="13">
        <v>129.1</v>
      </c>
      <c r="F131" s="13">
        <v>116</v>
      </c>
      <c r="G131" s="13">
        <v>131.9</v>
      </c>
      <c r="H131" s="4">
        <f>SUM('Working Data'!X131,'Working Data'!AB131)</f>
        <v>249</v>
      </c>
      <c r="I131" s="4">
        <f>SUM('Working Data'!U131,'Working Data'!W131)</f>
        <v>257.89999999999998</v>
      </c>
      <c r="J131" s="4">
        <f>SUM('Working Data'!R131,'Working Data'!S131,'Working Data'!T131)</f>
        <v>407.9</v>
      </c>
      <c r="K131" s="4">
        <f>SUM('Working Data'!AC131,'Working Data'!Z131,'Working Data'!Q131)</f>
        <v>388.6</v>
      </c>
      <c r="L131" s="4">
        <v>133.5</v>
      </c>
    </row>
    <row r="132" spans="1:12" hidden="1" x14ac:dyDescent="0.3">
      <c r="A132" s="1" t="s">
        <v>33</v>
      </c>
      <c r="B132" s="1">
        <v>2016</v>
      </c>
      <c r="C132" s="1" t="s">
        <v>41</v>
      </c>
      <c r="D132">
        <f>SUM(Table13[[#This Row],[Cereals and products]:[Food and beverages]])</f>
        <v>1783.9999999999995</v>
      </c>
      <c r="E132" s="12">
        <v>114.7</v>
      </c>
      <c r="F132" s="12">
        <v>110.4</v>
      </c>
      <c r="G132" s="12">
        <v>131.5</v>
      </c>
      <c r="H132" s="4">
        <f>SUM('Working Data'!X132,'Working Data'!AB132)</f>
        <v>242.10000000000002</v>
      </c>
      <c r="I132" s="4">
        <f>SUM('Working Data'!U132,'Working Data'!W132)</f>
        <v>251.2</v>
      </c>
      <c r="J132" s="4">
        <f>SUM('Working Data'!R132,'Working Data'!S132,'Working Data'!T132)</f>
        <v>377</v>
      </c>
      <c r="K132" s="4">
        <f>SUM('Working Data'!AC132,'Working Data'!Z132,'Working Data'!Q132)</f>
        <v>384.1</v>
      </c>
      <c r="L132" s="4">
        <v>128.4</v>
      </c>
    </row>
    <row r="133" spans="1:12" hidden="1" x14ac:dyDescent="0.3">
      <c r="A133" s="2" t="s">
        <v>34</v>
      </c>
      <c r="B133" s="2">
        <v>2016</v>
      </c>
      <c r="C133" s="2" t="s">
        <v>41</v>
      </c>
      <c r="D133">
        <f>SUM(Table13[[#This Row],[Cereals and products]:[Food and beverages]])</f>
        <v>1777.9</v>
      </c>
      <c r="E133" s="13">
        <v>123.6</v>
      </c>
      <c r="F133" s="13">
        <v>113.1</v>
      </c>
      <c r="G133" s="13">
        <v>131.69999999999999</v>
      </c>
      <c r="H133" s="4">
        <f>SUM('Working Data'!X133,'Working Data'!AB133)</f>
        <v>246.3</v>
      </c>
      <c r="I133" s="4">
        <f>SUM('Working Data'!U133,'Working Data'!W133)</f>
        <v>254.7</v>
      </c>
      <c r="J133" s="4">
        <f>SUM('Working Data'!R133,'Working Data'!S133,'Working Data'!T133)</f>
        <v>395.49999999999994</v>
      </c>
      <c r="K133" s="4">
        <f>SUM('Working Data'!AC133,'Working Data'!Z133,'Working Data'!Q133)</f>
        <v>385</v>
      </c>
      <c r="L133" s="4">
        <v>131.1</v>
      </c>
    </row>
    <row r="134" spans="1:12" hidden="1" x14ac:dyDescent="0.3">
      <c r="A134" s="1" t="s">
        <v>30</v>
      </c>
      <c r="B134" s="1">
        <v>2016</v>
      </c>
      <c r="C134" s="1" t="s">
        <v>42</v>
      </c>
      <c r="D134">
        <f>SUM(Table13[[#This Row],[Cereals and products]:[Food and beverages]])</f>
        <v>1770.7</v>
      </c>
      <c r="E134" s="12">
        <v>129.69999999999999</v>
      </c>
      <c r="F134" s="12">
        <v>117</v>
      </c>
      <c r="G134" s="12">
        <v>132.19999999999999</v>
      </c>
      <c r="H134" s="4">
        <f>SUM('Working Data'!X134,'Working Data'!AB134)</f>
        <v>250.6</v>
      </c>
      <c r="I134" s="4">
        <f>SUM('Working Data'!U134,'Working Data'!W134)</f>
        <v>259</v>
      </c>
      <c r="J134" s="4">
        <f>SUM('Working Data'!R134,'Working Data'!S134,'Working Data'!T134)</f>
        <v>409.8</v>
      </c>
      <c r="K134" s="4">
        <f>SUM('Working Data'!AC134,'Working Data'!Z134,'Working Data'!Q134)</f>
        <v>390.5</v>
      </c>
      <c r="L134" s="4">
        <v>133.4</v>
      </c>
    </row>
    <row r="135" spans="1:12" hidden="1" x14ac:dyDescent="0.3">
      <c r="A135" s="2" t="s">
        <v>33</v>
      </c>
      <c r="B135" s="2">
        <v>2016</v>
      </c>
      <c r="C135" s="2" t="s">
        <v>42</v>
      </c>
      <c r="D135">
        <f>SUM(Table13[[#This Row],[Cereals and products]:[Food and beverages]])</f>
        <v>1756.3999999999996</v>
      </c>
      <c r="E135" s="13">
        <v>114.8</v>
      </c>
      <c r="F135" s="13">
        <v>111.8</v>
      </c>
      <c r="G135" s="13">
        <v>131.6</v>
      </c>
      <c r="H135" s="4">
        <f>SUM('Working Data'!X135,'Working Data'!AB135)</f>
        <v>242.60000000000002</v>
      </c>
      <c r="I135" s="4">
        <f>SUM('Working Data'!U135,'Working Data'!W135)</f>
        <v>252.2</v>
      </c>
      <c r="J135" s="4">
        <f>SUM('Working Data'!R135,'Working Data'!S135,'Working Data'!T135)</f>
        <v>378</v>
      </c>
      <c r="K135" s="4">
        <f>SUM('Working Data'!AC135,'Working Data'!Z135,'Working Data'!Q135)</f>
        <v>385.20000000000005</v>
      </c>
      <c r="L135" s="4">
        <v>128</v>
      </c>
    </row>
    <row r="136" spans="1:12" hidden="1" x14ac:dyDescent="0.3">
      <c r="A136" s="1" t="s">
        <v>34</v>
      </c>
      <c r="B136" s="1">
        <v>2016</v>
      </c>
      <c r="C136" s="1" t="s">
        <v>42</v>
      </c>
      <c r="D136">
        <f>SUM(Table13[[#This Row],[Cereals and products]:[Food and beverages]])</f>
        <v>1763.6999999999998</v>
      </c>
      <c r="E136" s="12">
        <v>124.1</v>
      </c>
      <c r="F136" s="12">
        <v>114.3</v>
      </c>
      <c r="G136" s="12">
        <v>131.80000000000001</v>
      </c>
      <c r="H136" s="4">
        <f>SUM('Working Data'!X136,'Working Data'!AB136)</f>
        <v>247.5</v>
      </c>
      <c r="I136" s="4">
        <f>SUM('Working Data'!U136,'Working Data'!W136)</f>
        <v>255.8</v>
      </c>
      <c r="J136" s="4">
        <f>SUM('Working Data'!R136,'Working Data'!S136,'Working Data'!T136)</f>
        <v>397</v>
      </c>
      <c r="K136" s="4">
        <f>SUM('Working Data'!AC136,'Working Data'!Z136,'Working Data'!Q136)</f>
        <v>386.7</v>
      </c>
      <c r="L136" s="4">
        <v>130.9</v>
      </c>
    </row>
    <row r="137" spans="1:12" hidden="1" x14ac:dyDescent="0.3">
      <c r="A137" s="2" t="s">
        <v>30</v>
      </c>
      <c r="B137" s="2">
        <v>2016</v>
      </c>
      <c r="C137" s="2" t="s">
        <v>43</v>
      </c>
      <c r="D137">
        <f>SUM(Table13[[#This Row],[Cereals and products]:[Food and beverages]])</f>
        <v>1771.8000000000002</v>
      </c>
      <c r="E137" s="13">
        <v>129.80000000000001</v>
      </c>
      <c r="F137" s="13">
        <v>117.8</v>
      </c>
      <c r="G137" s="13">
        <v>133</v>
      </c>
      <c r="H137" s="4">
        <f>SUM('Working Data'!X137,'Working Data'!AB137)</f>
        <v>251.7</v>
      </c>
      <c r="I137" s="4">
        <f>SUM('Working Data'!U137,'Working Data'!W137)</f>
        <v>260.5</v>
      </c>
      <c r="J137" s="4">
        <f>SUM('Working Data'!R137,'Working Data'!S137,'Working Data'!T137)</f>
        <v>412.7</v>
      </c>
      <c r="K137" s="4">
        <f>SUM('Working Data'!AC137,'Working Data'!Z137,'Working Data'!Q137)</f>
        <v>393.1</v>
      </c>
      <c r="L137" s="4">
        <v>133.80000000000001</v>
      </c>
    </row>
    <row r="138" spans="1:12" hidden="1" x14ac:dyDescent="0.3">
      <c r="A138" s="1" t="s">
        <v>33</v>
      </c>
      <c r="B138" s="1">
        <v>2016</v>
      </c>
      <c r="C138" s="1" t="s">
        <v>43</v>
      </c>
      <c r="D138">
        <f>SUM(Table13[[#This Row],[Cereals and products]:[Food and beverages]])</f>
        <v>1762.8999999999999</v>
      </c>
      <c r="E138" s="12">
        <v>115.2</v>
      </c>
      <c r="F138" s="12">
        <v>112.8</v>
      </c>
      <c r="G138" s="12">
        <v>131.9</v>
      </c>
      <c r="H138" s="4">
        <f>SUM('Working Data'!X138,'Working Data'!AB138)</f>
        <v>242.6</v>
      </c>
      <c r="I138" s="4">
        <f>SUM('Working Data'!U138,'Working Data'!W138)</f>
        <v>253.2</v>
      </c>
      <c r="J138" s="4">
        <f>SUM('Working Data'!R138,'Working Data'!S138,'Working Data'!T138)</f>
        <v>379</v>
      </c>
      <c r="K138" s="4">
        <f>SUM('Working Data'!AC138,'Working Data'!Z138,'Working Data'!Q138)</f>
        <v>386.40000000000003</v>
      </c>
      <c r="L138" s="4">
        <v>128.6</v>
      </c>
    </row>
    <row r="139" spans="1:12" hidden="1" x14ac:dyDescent="0.3">
      <c r="A139" s="2" t="s">
        <v>34</v>
      </c>
      <c r="B139" s="2">
        <v>2016</v>
      </c>
      <c r="C139" s="2" t="s">
        <v>43</v>
      </c>
      <c r="D139">
        <f>SUM(Table13[[#This Row],[Cereals and products]:[Food and beverages]])</f>
        <v>1766.7999999999995</v>
      </c>
      <c r="E139" s="13">
        <v>124.3</v>
      </c>
      <c r="F139" s="13">
        <v>115.2</v>
      </c>
      <c r="G139" s="13">
        <v>132.4</v>
      </c>
      <c r="H139" s="4">
        <f>SUM('Working Data'!X139,'Working Data'!AB139)</f>
        <v>248.2</v>
      </c>
      <c r="I139" s="4">
        <f>SUM('Working Data'!U139,'Working Data'!W139)</f>
        <v>257.10000000000002</v>
      </c>
      <c r="J139" s="4">
        <f>SUM('Working Data'!R139,'Working Data'!S139,'Working Data'!T139)</f>
        <v>399.1</v>
      </c>
      <c r="K139" s="4">
        <f>SUM('Working Data'!AC139,'Working Data'!Z139,'Working Data'!Q139)</f>
        <v>388.70000000000005</v>
      </c>
      <c r="L139" s="4">
        <v>131.4</v>
      </c>
    </row>
    <row r="140" spans="1:12" hidden="1" x14ac:dyDescent="0.3">
      <c r="A140" s="1" t="s">
        <v>30</v>
      </c>
      <c r="B140" s="1">
        <v>2016</v>
      </c>
      <c r="C140" s="1" t="s">
        <v>45</v>
      </c>
      <c r="D140">
        <f>SUM(Table13[[#This Row],[Cereals and products]:[Food and beverages]])</f>
        <v>1764.6</v>
      </c>
      <c r="E140" s="12">
        <v>130.30000000000001</v>
      </c>
      <c r="F140" s="12">
        <v>118.2</v>
      </c>
      <c r="G140" s="12">
        <v>133.69999999999999</v>
      </c>
      <c r="H140" s="4">
        <f>SUM('Working Data'!X140,'Working Data'!AB140)</f>
        <v>252.6</v>
      </c>
      <c r="I140" s="4">
        <f>SUM('Working Data'!U140,'Working Data'!W140)</f>
        <v>261.2</v>
      </c>
      <c r="J140" s="4">
        <f>SUM('Working Data'!R140,'Working Data'!S140,'Working Data'!T140)</f>
        <v>413.59999999999997</v>
      </c>
      <c r="K140" s="4">
        <f>SUM('Working Data'!AC140,'Working Data'!Z140,'Working Data'!Q140)</f>
        <v>394.2</v>
      </c>
      <c r="L140" s="4">
        <v>133.6</v>
      </c>
    </row>
    <row r="141" spans="1:12" hidden="1" x14ac:dyDescent="0.3">
      <c r="A141" s="2" t="s">
        <v>33</v>
      </c>
      <c r="B141" s="2">
        <v>2016</v>
      </c>
      <c r="C141" s="2" t="s">
        <v>45</v>
      </c>
      <c r="D141">
        <f>SUM(Table13[[#This Row],[Cereals and products]:[Food and beverages]])</f>
        <v>1755.2</v>
      </c>
      <c r="E141" s="13">
        <v>116.2</v>
      </c>
      <c r="F141" s="13">
        <v>113.4</v>
      </c>
      <c r="G141" s="13">
        <v>132.1</v>
      </c>
      <c r="H141" s="4">
        <f>SUM('Working Data'!X141,'Working Data'!AB141)</f>
        <v>243.39999999999998</v>
      </c>
      <c r="I141" s="4">
        <f>SUM('Working Data'!U141,'Working Data'!W141)</f>
        <v>253.8</v>
      </c>
      <c r="J141" s="4">
        <f>SUM('Working Data'!R141,'Working Data'!S141,'Working Data'!T141)</f>
        <v>380.2</v>
      </c>
      <c r="K141" s="4">
        <f>SUM('Working Data'!AC141,'Working Data'!Z141,'Working Data'!Q141)</f>
        <v>387.3</v>
      </c>
      <c r="L141" s="4">
        <v>128.5</v>
      </c>
    </row>
    <row r="142" spans="1:12" hidden="1" x14ac:dyDescent="0.3">
      <c r="A142" s="1" t="s">
        <v>34</v>
      </c>
      <c r="B142" s="1">
        <v>2016</v>
      </c>
      <c r="C142" s="1" t="s">
        <v>45</v>
      </c>
      <c r="D142">
        <f>SUM(Table13[[#This Row],[Cereals and products]:[Food and beverages]])</f>
        <v>1759.8</v>
      </c>
      <c r="E142" s="12">
        <v>125</v>
      </c>
      <c r="F142" s="12">
        <v>115.7</v>
      </c>
      <c r="G142" s="12">
        <v>132.80000000000001</v>
      </c>
      <c r="H142" s="4">
        <f>SUM('Working Data'!X142,'Working Data'!AB142)</f>
        <v>249</v>
      </c>
      <c r="I142" s="4">
        <f>SUM('Working Data'!U142,'Working Data'!W142)</f>
        <v>257.7</v>
      </c>
      <c r="J142" s="4">
        <f>SUM('Working Data'!R142,'Working Data'!S142,'Working Data'!T142)</f>
        <v>400.1</v>
      </c>
      <c r="K142" s="4">
        <f>SUM('Working Data'!AC142,'Working Data'!Z142,'Working Data'!Q142)</f>
        <v>389.8</v>
      </c>
      <c r="L142" s="4">
        <v>131.19999999999999</v>
      </c>
    </row>
    <row r="143" spans="1:12" hidden="1" x14ac:dyDescent="0.3">
      <c r="A143" s="2" t="s">
        <v>30</v>
      </c>
      <c r="B143" s="2">
        <v>2016</v>
      </c>
      <c r="C143" s="2" t="s">
        <v>46</v>
      </c>
      <c r="D143">
        <f>SUM(Table13[[#This Row],[Cereals and products]:[Food and beverages]])</f>
        <v>1749.1</v>
      </c>
      <c r="E143" s="13">
        <v>132</v>
      </c>
      <c r="F143" s="13">
        <v>118.6</v>
      </c>
      <c r="G143" s="13">
        <v>134.19999999999999</v>
      </c>
      <c r="H143" s="4">
        <f>SUM('Working Data'!X143,'Working Data'!AB143)</f>
        <v>251.6</v>
      </c>
      <c r="I143" s="4">
        <f>SUM('Working Data'!U143,'Working Data'!W143)</f>
        <v>261.39999999999998</v>
      </c>
      <c r="J143" s="4">
        <f>SUM('Working Data'!R143,'Working Data'!S143,'Working Data'!T143)</f>
        <v>415.3</v>
      </c>
      <c r="K143" s="4">
        <f>SUM('Working Data'!AC143,'Working Data'!Z143,'Working Data'!Q143)</f>
        <v>396</v>
      </c>
      <c r="L143" s="4">
        <v>132.80000000000001</v>
      </c>
    </row>
    <row r="144" spans="1:12" hidden="1" x14ac:dyDescent="0.3">
      <c r="A144" s="1" t="s">
        <v>33</v>
      </c>
      <c r="B144" s="1">
        <v>2016</v>
      </c>
      <c r="C144" s="1" t="s">
        <v>46</v>
      </c>
      <c r="D144">
        <f>SUM(Table13[[#This Row],[Cereals and products]:[Food and beverages]])</f>
        <v>1729.8</v>
      </c>
      <c r="E144" s="12">
        <v>117.8</v>
      </c>
      <c r="F144" s="12">
        <v>113.7</v>
      </c>
      <c r="G144" s="12">
        <v>132.30000000000001</v>
      </c>
      <c r="H144" s="4">
        <f>SUM('Working Data'!X144,'Working Data'!AB144)</f>
        <v>242.2</v>
      </c>
      <c r="I144" s="4">
        <f>SUM('Working Data'!U144,'Working Data'!W144)</f>
        <v>253.5</v>
      </c>
      <c r="J144" s="4">
        <f>SUM('Working Data'!R144,'Working Data'!S144,'Working Data'!T144)</f>
        <v>381</v>
      </c>
      <c r="K144" s="4">
        <f>SUM('Working Data'!AC144,'Working Data'!Z144,'Working Data'!Q144)</f>
        <v>388.2</v>
      </c>
      <c r="L144" s="4">
        <v>127.6</v>
      </c>
    </row>
    <row r="145" spans="1:12" hidden="1" x14ac:dyDescent="0.3">
      <c r="A145" s="2" t="s">
        <v>34</v>
      </c>
      <c r="B145" s="2">
        <v>2016</v>
      </c>
      <c r="C145" s="2" t="s">
        <v>46</v>
      </c>
      <c r="D145">
        <f>SUM(Table13[[#This Row],[Cereals and products]:[Food and beverages]])</f>
        <v>1740.7</v>
      </c>
      <c r="E145" s="13">
        <v>126.6</v>
      </c>
      <c r="F145" s="13">
        <v>116</v>
      </c>
      <c r="G145" s="13">
        <v>133.1</v>
      </c>
      <c r="H145" s="4">
        <f>SUM('Working Data'!X145,'Working Data'!AB145)</f>
        <v>248</v>
      </c>
      <c r="I145" s="4">
        <f>SUM('Working Data'!U145,'Working Data'!W145)</f>
        <v>257.7</v>
      </c>
      <c r="J145" s="4">
        <f>SUM('Working Data'!R145,'Working Data'!S145,'Working Data'!T145)</f>
        <v>401.5</v>
      </c>
      <c r="K145" s="4">
        <f>SUM('Working Data'!AC145,'Working Data'!Z145,'Working Data'!Q145)</f>
        <v>391.20000000000005</v>
      </c>
      <c r="L145" s="4">
        <v>130.4</v>
      </c>
    </row>
    <row r="146" spans="1:12" hidden="1" x14ac:dyDescent="0.3">
      <c r="A146" s="1" t="s">
        <v>30</v>
      </c>
      <c r="B146" s="1">
        <v>2017</v>
      </c>
      <c r="C146" s="1" t="s">
        <v>31</v>
      </c>
      <c r="D146">
        <f>SUM(Table13[[#This Row],[Cereals and products]:[Food and beverages]])</f>
        <v>1737.3000000000002</v>
      </c>
      <c r="E146" s="12">
        <v>132.1</v>
      </c>
      <c r="F146" s="12">
        <v>119.1</v>
      </c>
      <c r="G146" s="12">
        <v>134.6</v>
      </c>
      <c r="H146" s="4">
        <f>SUM('Working Data'!X146,'Working Data'!AB146)</f>
        <v>252.2</v>
      </c>
      <c r="I146" s="4">
        <f>SUM('Working Data'!U146,'Working Data'!W146)</f>
        <v>262.79999999999995</v>
      </c>
      <c r="J146" s="4">
        <f>SUM('Working Data'!R146,'Working Data'!S146,'Working Data'!T146)</f>
        <v>416.5</v>
      </c>
      <c r="K146" s="4">
        <f>SUM('Working Data'!AC146,'Working Data'!Z146,'Working Data'!Q146)</f>
        <v>396.7</v>
      </c>
      <c r="L146" s="4">
        <v>132.4</v>
      </c>
    </row>
    <row r="147" spans="1:12" hidden="1" x14ac:dyDescent="0.3">
      <c r="A147" s="2" t="s">
        <v>33</v>
      </c>
      <c r="B147" s="2">
        <v>2017</v>
      </c>
      <c r="C147" s="2" t="s">
        <v>31</v>
      </c>
      <c r="D147">
        <f>SUM(Table13[[#This Row],[Cereals and products]:[Food and beverages]])</f>
        <v>1713.2</v>
      </c>
      <c r="E147" s="13">
        <v>118</v>
      </c>
      <c r="F147" s="13">
        <v>115.2</v>
      </c>
      <c r="G147" s="13">
        <v>132.4</v>
      </c>
      <c r="H147" s="4">
        <f>SUM('Working Data'!X147,'Working Data'!AB147)</f>
        <v>243.5</v>
      </c>
      <c r="I147" s="4">
        <f>SUM('Working Data'!U147,'Working Data'!W147)</f>
        <v>254.7</v>
      </c>
      <c r="J147" s="4">
        <f>SUM('Working Data'!R147,'Working Data'!S147,'Working Data'!T147)</f>
        <v>381.5</v>
      </c>
      <c r="K147" s="4">
        <f>SUM('Working Data'!AC147,'Working Data'!Z147,'Working Data'!Q147)</f>
        <v>389.7</v>
      </c>
      <c r="L147" s="4">
        <v>127.8</v>
      </c>
    </row>
    <row r="148" spans="1:12" hidden="1" x14ac:dyDescent="0.3">
      <c r="A148" s="1" t="s">
        <v>34</v>
      </c>
      <c r="B148" s="1">
        <v>2017</v>
      </c>
      <c r="C148" s="1" t="s">
        <v>31</v>
      </c>
      <c r="D148">
        <f>SUM(Table13[[#This Row],[Cereals and products]:[Food and beverages]])</f>
        <v>1727.2999999999995</v>
      </c>
      <c r="E148" s="12">
        <v>126.8</v>
      </c>
      <c r="F148" s="12">
        <v>117</v>
      </c>
      <c r="G148" s="12">
        <v>133.30000000000001</v>
      </c>
      <c r="H148" s="4">
        <f>SUM('Working Data'!X148,'Working Data'!AB148)</f>
        <v>248.8</v>
      </c>
      <c r="I148" s="4">
        <f>SUM('Working Data'!U148,'Working Data'!W148)</f>
        <v>259</v>
      </c>
      <c r="J148" s="4">
        <f>SUM('Working Data'!R148,'Working Data'!S148,'Working Data'!T148)</f>
        <v>402.4</v>
      </c>
      <c r="K148" s="4">
        <f>SUM('Working Data'!AC148,'Working Data'!Z148,'Working Data'!Q148)</f>
        <v>392.40000000000003</v>
      </c>
      <c r="L148" s="4">
        <v>130.30000000000001</v>
      </c>
    </row>
    <row r="149" spans="1:12" hidden="1" x14ac:dyDescent="0.3">
      <c r="A149" s="2" t="s">
        <v>30</v>
      </c>
      <c r="B149" s="2">
        <v>2017</v>
      </c>
      <c r="C149" s="2" t="s">
        <v>35</v>
      </c>
      <c r="D149">
        <f>SUM(Table13[[#This Row],[Cereals and products]:[Food and beverages]])</f>
        <v>1734.5000000000002</v>
      </c>
      <c r="E149" s="13">
        <v>133.19999999999999</v>
      </c>
      <c r="F149" s="13">
        <v>119.5</v>
      </c>
      <c r="G149" s="13">
        <v>134.9</v>
      </c>
      <c r="H149" s="4">
        <f>SUM('Working Data'!X149,'Working Data'!AB149)</f>
        <v>253.3</v>
      </c>
      <c r="I149" s="4">
        <f>SUM('Working Data'!U149,'Working Data'!W149)</f>
        <v>264.10000000000002</v>
      </c>
      <c r="J149" s="4">
        <f>SUM('Working Data'!R149,'Working Data'!S149,'Working Data'!T149)</f>
        <v>416.90000000000003</v>
      </c>
      <c r="K149" s="4">
        <f>SUM('Working Data'!AC149,'Working Data'!Z149,'Working Data'!Q149)</f>
        <v>398.4</v>
      </c>
      <c r="L149" s="4">
        <v>132.6</v>
      </c>
    </row>
    <row r="150" spans="1:12" hidden="1" x14ac:dyDescent="0.3">
      <c r="A150" s="1" t="s">
        <v>33</v>
      </c>
      <c r="B150" s="1">
        <v>2017</v>
      </c>
      <c r="C150" s="1" t="s">
        <v>35</v>
      </c>
      <c r="D150">
        <f>SUM(Table13[[#This Row],[Cereals and products]:[Food and beverages]])</f>
        <v>1705.3000000000002</v>
      </c>
      <c r="E150" s="12">
        <v>119.2</v>
      </c>
      <c r="F150" s="12">
        <v>115.5</v>
      </c>
      <c r="G150" s="12">
        <v>132.4</v>
      </c>
      <c r="H150" s="4">
        <f>SUM('Working Data'!X150,'Working Data'!AB150)</f>
        <v>244.60000000000002</v>
      </c>
      <c r="I150" s="4">
        <f>SUM('Working Data'!U150,'Working Data'!W150)</f>
        <v>255.8</v>
      </c>
      <c r="J150" s="4">
        <f>SUM('Working Data'!R150,'Working Data'!S150,'Working Data'!T150)</f>
        <v>382.3</v>
      </c>
      <c r="K150" s="4">
        <f>SUM('Working Data'!AC150,'Working Data'!Z150,'Working Data'!Q150)</f>
        <v>390.90000000000003</v>
      </c>
      <c r="L150" s="4">
        <v>128.19999999999999</v>
      </c>
    </row>
    <row r="151" spans="1:12" hidden="1" x14ac:dyDescent="0.3">
      <c r="A151" s="2" t="s">
        <v>34</v>
      </c>
      <c r="B151" s="2">
        <v>2017</v>
      </c>
      <c r="C151" s="2" t="s">
        <v>35</v>
      </c>
      <c r="D151">
        <f>SUM(Table13[[#This Row],[Cereals and products]:[Food and beverages]])</f>
        <v>1722.3000000000002</v>
      </c>
      <c r="E151" s="13">
        <v>127.9</v>
      </c>
      <c r="F151" s="13">
        <v>117.4</v>
      </c>
      <c r="G151" s="13">
        <v>133.4</v>
      </c>
      <c r="H151" s="4">
        <f>SUM('Working Data'!X151,'Working Data'!AB151)</f>
        <v>250</v>
      </c>
      <c r="I151" s="4">
        <f>SUM('Working Data'!U151,'Working Data'!W151)</f>
        <v>260.2</v>
      </c>
      <c r="J151" s="4">
        <f>SUM('Working Data'!R151,'Working Data'!S151,'Working Data'!T151)</f>
        <v>403</v>
      </c>
      <c r="K151" s="4">
        <f>SUM('Working Data'!AC151,'Working Data'!Z151,'Working Data'!Q151)</f>
        <v>393.79999999999995</v>
      </c>
      <c r="L151" s="4">
        <v>130.6</v>
      </c>
    </row>
    <row r="152" spans="1:12" hidden="1" x14ac:dyDescent="0.3">
      <c r="A152" s="1" t="s">
        <v>30</v>
      </c>
      <c r="B152" s="1">
        <v>2017</v>
      </c>
      <c r="C152" s="1" t="s">
        <v>36</v>
      </c>
      <c r="D152">
        <f>SUM(Table13[[#This Row],[Cereals and products]:[Food and beverages]])</f>
        <v>1728.5000000000002</v>
      </c>
      <c r="E152" s="12">
        <v>134.19999999999999</v>
      </c>
      <c r="F152" s="12">
        <v>119.8</v>
      </c>
      <c r="G152" s="12">
        <v>135.19999999999999</v>
      </c>
      <c r="H152" s="4">
        <f>SUM('Working Data'!X152,'Working Data'!AB152)</f>
        <v>253.89999999999998</v>
      </c>
      <c r="I152" s="4">
        <f>SUM('Working Data'!U152,'Working Data'!W152)</f>
        <v>265.2</v>
      </c>
      <c r="J152" s="4">
        <f>SUM('Working Data'!R152,'Working Data'!S152,'Working Data'!T152)</f>
        <v>418.59999999999997</v>
      </c>
      <c r="K152" s="4">
        <f>SUM('Working Data'!AC152,'Working Data'!Z152,'Working Data'!Q152)</f>
        <v>399.9</v>
      </c>
      <c r="L152" s="4">
        <v>132.80000000000001</v>
      </c>
    </row>
    <row r="153" spans="1:12" hidden="1" x14ac:dyDescent="0.3">
      <c r="A153" s="2" t="s">
        <v>33</v>
      </c>
      <c r="B153" s="2">
        <v>2017</v>
      </c>
      <c r="C153" s="2" t="s">
        <v>36</v>
      </c>
      <c r="D153">
        <f>SUM(Table13[[#This Row],[Cereals and products]:[Food and beverages]])</f>
        <v>1705.6999999999998</v>
      </c>
      <c r="E153" s="13">
        <v>120.8</v>
      </c>
      <c r="F153" s="13">
        <v>115.6</v>
      </c>
      <c r="G153" s="13">
        <v>132.80000000000001</v>
      </c>
      <c r="H153" s="4">
        <f>SUM('Working Data'!X153,'Working Data'!AB153)</f>
        <v>244.8</v>
      </c>
      <c r="I153" s="4">
        <f>SUM('Working Data'!U153,'Working Data'!W153)</f>
        <v>256.7</v>
      </c>
      <c r="J153" s="4">
        <f>SUM('Working Data'!R153,'Working Data'!S153,'Working Data'!T153)</f>
        <v>383.20000000000005</v>
      </c>
      <c r="K153" s="4">
        <f>SUM('Working Data'!AC153,'Working Data'!Z153,'Working Data'!Q153)</f>
        <v>392.5</v>
      </c>
      <c r="L153" s="4">
        <v>128.69999999999999</v>
      </c>
    </row>
    <row r="154" spans="1:12" hidden="1" x14ac:dyDescent="0.3">
      <c r="A154" s="1" t="s">
        <v>34</v>
      </c>
      <c r="B154" s="1">
        <v>2017</v>
      </c>
      <c r="C154" s="1" t="s">
        <v>36</v>
      </c>
      <c r="D154">
        <f>SUM(Table13[[#This Row],[Cereals and products]:[Food and beverages]])</f>
        <v>1718.9</v>
      </c>
      <c r="E154" s="12">
        <v>129.1</v>
      </c>
      <c r="F154" s="12">
        <v>117.6</v>
      </c>
      <c r="G154" s="12">
        <v>133.80000000000001</v>
      </c>
      <c r="H154" s="4">
        <f>SUM('Working Data'!X154,'Working Data'!AB154)</f>
        <v>250.39999999999998</v>
      </c>
      <c r="I154" s="4">
        <f>SUM('Working Data'!U154,'Working Data'!W154)</f>
        <v>261.2</v>
      </c>
      <c r="J154" s="4">
        <f>SUM('Working Data'!R154,'Working Data'!S154,'Working Data'!T154)</f>
        <v>404.29999999999995</v>
      </c>
      <c r="K154" s="4">
        <f>SUM('Working Data'!AC154,'Working Data'!Z154,'Working Data'!Q154)</f>
        <v>395.2</v>
      </c>
      <c r="L154" s="4">
        <v>130.9</v>
      </c>
    </row>
    <row r="155" spans="1:12" hidden="1" x14ac:dyDescent="0.3">
      <c r="A155" s="2" t="s">
        <v>30</v>
      </c>
      <c r="B155" s="2">
        <v>2017</v>
      </c>
      <c r="C155" s="2" t="s">
        <v>37</v>
      </c>
      <c r="D155">
        <f>SUM(Table13[[#This Row],[Cereals and products]:[Food and beverages]])</f>
        <v>1726.3</v>
      </c>
      <c r="E155" s="13">
        <v>135</v>
      </c>
      <c r="F155" s="13">
        <v>119.2</v>
      </c>
      <c r="G155" s="13">
        <v>135.69999999999999</v>
      </c>
      <c r="H155" s="4">
        <f>SUM('Working Data'!X155,'Working Data'!AB155)</f>
        <v>254.7</v>
      </c>
      <c r="I155" s="4">
        <f>SUM('Working Data'!U155,'Working Data'!W155)</f>
        <v>266</v>
      </c>
      <c r="J155" s="4">
        <f>SUM('Working Data'!R155,'Working Data'!S155,'Working Data'!T155)</f>
        <v>420.80000000000007</v>
      </c>
      <c r="K155" s="4">
        <f>SUM('Working Data'!AC155,'Working Data'!Z155,'Working Data'!Q155)</f>
        <v>400.20000000000005</v>
      </c>
      <c r="L155" s="4">
        <v>132.9</v>
      </c>
    </row>
    <row r="156" spans="1:12" hidden="1" x14ac:dyDescent="0.3">
      <c r="A156" s="1" t="s">
        <v>33</v>
      </c>
      <c r="B156" s="1">
        <v>2017</v>
      </c>
      <c r="C156" s="1" t="s">
        <v>37</v>
      </c>
      <c r="D156">
        <f>SUM(Table13[[#This Row],[Cereals and products]:[Food and beverages]])</f>
        <v>1708.1</v>
      </c>
      <c r="E156" s="12">
        <v>121.4</v>
      </c>
      <c r="F156" s="12">
        <v>114.3</v>
      </c>
      <c r="G156" s="12">
        <v>133.6</v>
      </c>
      <c r="H156" s="4">
        <f>SUM('Working Data'!X156,'Working Data'!AB156)</f>
        <v>245.60000000000002</v>
      </c>
      <c r="I156" s="4">
        <f>SUM('Working Data'!U156,'Working Data'!W156)</f>
        <v>257.7</v>
      </c>
      <c r="J156" s="4">
        <f>SUM('Working Data'!R156,'Working Data'!S156,'Working Data'!T156)</f>
        <v>384.2</v>
      </c>
      <c r="K156" s="4">
        <f>SUM('Working Data'!AC156,'Working Data'!Z156,'Working Data'!Q156)</f>
        <v>393.1</v>
      </c>
      <c r="L156" s="4">
        <v>129.1</v>
      </c>
    </row>
    <row r="157" spans="1:12" hidden="1" x14ac:dyDescent="0.3">
      <c r="A157" s="2" t="s">
        <v>34</v>
      </c>
      <c r="B157" s="2">
        <v>2017</v>
      </c>
      <c r="C157" s="2" t="s">
        <v>37</v>
      </c>
      <c r="D157">
        <f>SUM(Table13[[#This Row],[Cereals and products]:[Food and beverages]])</f>
        <v>1718.4</v>
      </c>
      <c r="E157" s="13">
        <v>129.80000000000001</v>
      </c>
      <c r="F157" s="13">
        <v>116.6</v>
      </c>
      <c r="G157" s="13">
        <v>134.5</v>
      </c>
      <c r="H157" s="4">
        <f>SUM('Working Data'!X157,'Working Data'!AB157)</f>
        <v>251.2</v>
      </c>
      <c r="I157" s="4">
        <f>SUM('Working Data'!U157,'Working Data'!W157)</f>
        <v>262.10000000000002</v>
      </c>
      <c r="J157" s="4">
        <f>SUM('Working Data'!R157,'Working Data'!S157,'Working Data'!T157)</f>
        <v>406.1</v>
      </c>
      <c r="K157" s="4">
        <f>SUM('Working Data'!AC157,'Working Data'!Z157,'Working Data'!Q157)</f>
        <v>395.6</v>
      </c>
      <c r="L157" s="4">
        <v>131.1</v>
      </c>
    </row>
    <row r="158" spans="1:12" hidden="1" x14ac:dyDescent="0.3">
      <c r="A158" s="1" t="s">
        <v>30</v>
      </c>
      <c r="B158" s="1">
        <v>2017</v>
      </c>
      <c r="C158" s="1" t="s">
        <v>38</v>
      </c>
      <c r="D158">
        <f>SUM(Table13[[#This Row],[Cereals and products]:[Food and beverages]])</f>
        <v>1727.4999999999995</v>
      </c>
      <c r="E158" s="12">
        <v>135</v>
      </c>
      <c r="F158" s="12">
        <v>119.4</v>
      </c>
      <c r="G158" s="12">
        <v>136.30000000000001</v>
      </c>
      <c r="H158" s="4">
        <f>SUM('Working Data'!X158,'Working Data'!AB158)</f>
        <v>255.10000000000002</v>
      </c>
      <c r="I158" s="4">
        <f>SUM('Working Data'!U158,'Working Data'!W158)</f>
        <v>267</v>
      </c>
      <c r="J158" s="4">
        <f>SUM('Working Data'!R158,'Working Data'!S158,'Working Data'!T158)</f>
        <v>421.6</v>
      </c>
      <c r="K158" s="4">
        <f>SUM('Working Data'!AC158,'Working Data'!Z158,'Working Data'!Q158)</f>
        <v>402.8</v>
      </c>
      <c r="L158" s="4">
        <v>133.30000000000001</v>
      </c>
    </row>
    <row r="159" spans="1:12" hidden="1" x14ac:dyDescent="0.3">
      <c r="A159" s="2" t="s">
        <v>33</v>
      </c>
      <c r="B159" s="2">
        <v>2017</v>
      </c>
      <c r="C159" s="2" t="s">
        <v>38</v>
      </c>
      <c r="D159">
        <f>SUM(Table13[[#This Row],[Cereals and products]:[Food and beverages]])</f>
        <v>1709.6</v>
      </c>
      <c r="E159" s="13">
        <v>120.1</v>
      </c>
      <c r="F159" s="13">
        <v>114.3</v>
      </c>
      <c r="G159" s="13">
        <v>133.80000000000001</v>
      </c>
      <c r="H159" s="4">
        <f>SUM('Working Data'!X159,'Working Data'!AB159)</f>
        <v>245.6</v>
      </c>
      <c r="I159" s="4">
        <f>SUM('Working Data'!U159,'Working Data'!W159)</f>
        <v>258.60000000000002</v>
      </c>
      <c r="J159" s="4">
        <f>SUM('Working Data'!R159,'Working Data'!S159,'Working Data'!T159)</f>
        <v>384.9</v>
      </c>
      <c r="K159" s="4">
        <f>SUM('Working Data'!AC159,'Working Data'!Z159,'Working Data'!Q159)</f>
        <v>393.7</v>
      </c>
      <c r="L159" s="4">
        <v>129.30000000000001</v>
      </c>
    </row>
    <row r="160" spans="1:12" hidden="1" x14ac:dyDescent="0.3">
      <c r="A160" s="1" t="s">
        <v>34</v>
      </c>
      <c r="B160" s="1">
        <v>2017</v>
      </c>
      <c r="C160" s="1" t="s">
        <v>38</v>
      </c>
      <c r="D160">
        <f>SUM(Table13[[#This Row],[Cereals and products]:[Food and beverages]])</f>
        <v>1719.6000000000001</v>
      </c>
      <c r="E160" s="12">
        <v>129.4</v>
      </c>
      <c r="F160" s="12">
        <v>116.7</v>
      </c>
      <c r="G160" s="12">
        <v>134.80000000000001</v>
      </c>
      <c r="H160" s="4">
        <f>SUM('Working Data'!X160,'Working Data'!AB160)</f>
        <v>251.4</v>
      </c>
      <c r="I160" s="4">
        <f>SUM('Working Data'!U160,'Working Data'!W160)</f>
        <v>263</v>
      </c>
      <c r="J160" s="4">
        <f>SUM('Working Data'!R160,'Working Data'!S160,'Working Data'!T160)</f>
        <v>406.8</v>
      </c>
      <c r="K160" s="4">
        <f>SUM('Working Data'!AC160,'Working Data'!Z160,'Working Data'!Q160)</f>
        <v>397.2</v>
      </c>
      <c r="L160" s="4">
        <v>131.4</v>
      </c>
    </row>
    <row r="161" spans="1:12" hidden="1" x14ac:dyDescent="0.3">
      <c r="A161" s="2" t="s">
        <v>30</v>
      </c>
      <c r="B161" s="2">
        <v>2017</v>
      </c>
      <c r="C161" s="2" t="s">
        <v>39</v>
      </c>
      <c r="D161">
        <f>SUM(Table13[[#This Row],[Cereals and products]:[Food and beverages]])</f>
        <v>1738.8000000000002</v>
      </c>
      <c r="E161" s="13">
        <v>134.80000000000001</v>
      </c>
      <c r="F161" s="13">
        <v>119.4</v>
      </c>
      <c r="G161" s="13">
        <v>136.9</v>
      </c>
      <c r="H161" s="4">
        <f>SUM('Working Data'!X161,'Working Data'!AB161)</f>
        <v>255.4</v>
      </c>
      <c r="I161" s="4">
        <f>SUM('Working Data'!U161,'Working Data'!W161)</f>
        <v>266.60000000000002</v>
      </c>
      <c r="J161" s="4">
        <f>SUM('Working Data'!R161,'Working Data'!S161,'Working Data'!T161)</f>
        <v>423.09999999999997</v>
      </c>
      <c r="K161" s="4">
        <f>SUM('Working Data'!AC161,'Working Data'!Z161,'Working Data'!Q161)</f>
        <v>403.7</v>
      </c>
      <c r="L161" s="4">
        <v>133.9</v>
      </c>
    </row>
    <row r="162" spans="1:12" hidden="1" x14ac:dyDescent="0.3">
      <c r="A162" s="1" t="s">
        <v>33</v>
      </c>
      <c r="B162" s="1">
        <v>2017</v>
      </c>
      <c r="C162" s="1" t="s">
        <v>39</v>
      </c>
      <c r="D162">
        <f>SUM(Table13[[#This Row],[Cereals and products]:[Food and beverages]])</f>
        <v>1731.0000000000002</v>
      </c>
      <c r="E162" s="12">
        <v>119</v>
      </c>
      <c r="F162" s="12">
        <v>113.9</v>
      </c>
      <c r="G162" s="12">
        <v>134.30000000000001</v>
      </c>
      <c r="H162" s="4">
        <f>SUM('Working Data'!X162,'Working Data'!AB162)</f>
        <v>246.3</v>
      </c>
      <c r="I162" s="4">
        <f>SUM('Working Data'!U162,'Working Data'!W162)</f>
        <v>258.2</v>
      </c>
      <c r="J162" s="4">
        <f>SUM('Working Data'!R162,'Working Data'!S162,'Working Data'!T162)</f>
        <v>384.9</v>
      </c>
      <c r="K162" s="4">
        <f>SUM('Working Data'!AC162,'Working Data'!Z162,'Working Data'!Q162)</f>
        <v>394.20000000000005</v>
      </c>
      <c r="L162" s="4">
        <v>129.9</v>
      </c>
    </row>
    <row r="163" spans="1:12" hidden="1" x14ac:dyDescent="0.3">
      <c r="A163" s="2" t="s">
        <v>34</v>
      </c>
      <c r="B163" s="2">
        <v>2017</v>
      </c>
      <c r="C163" s="2" t="s">
        <v>39</v>
      </c>
      <c r="D163">
        <f>SUM(Table13[[#This Row],[Cereals and products]:[Food and beverages]])</f>
        <v>1734.7</v>
      </c>
      <c r="E163" s="13">
        <v>128.80000000000001</v>
      </c>
      <c r="F163" s="13">
        <v>116.5</v>
      </c>
      <c r="G163" s="13">
        <v>135.4</v>
      </c>
      <c r="H163" s="4">
        <f>SUM('Working Data'!X163,'Working Data'!AB163)</f>
        <v>251.9</v>
      </c>
      <c r="I163" s="4">
        <f>SUM('Working Data'!U163,'Working Data'!W163)</f>
        <v>262.60000000000002</v>
      </c>
      <c r="J163" s="4">
        <f>SUM('Working Data'!R163,'Working Data'!S163,'Working Data'!T163)</f>
        <v>407.7</v>
      </c>
      <c r="K163" s="4">
        <f>SUM('Working Data'!AC163,'Working Data'!Z163,'Working Data'!Q163)</f>
        <v>397.9</v>
      </c>
      <c r="L163" s="4">
        <v>132</v>
      </c>
    </row>
    <row r="164" spans="1:12" hidden="1" x14ac:dyDescent="0.3">
      <c r="A164" s="1" t="s">
        <v>30</v>
      </c>
      <c r="B164" s="1">
        <v>2017</v>
      </c>
      <c r="C164" s="1" t="s">
        <v>40</v>
      </c>
      <c r="D164">
        <f>SUM(Table13[[#This Row],[Cereals and products]:[Food and beverages]])</f>
        <v>1772.9</v>
      </c>
      <c r="E164" s="12">
        <v>135.30000000000001</v>
      </c>
      <c r="F164" s="12">
        <v>119.1</v>
      </c>
      <c r="G164" s="12">
        <v>138.6</v>
      </c>
      <c r="H164" s="4">
        <f>SUM('Working Data'!X164,'Working Data'!AB164)</f>
        <v>256.5</v>
      </c>
      <c r="I164" s="4">
        <f>SUM('Working Data'!U164,'Working Data'!W164)</f>
        <v>268.7</v>
      </c>
      <c r="J164" s="4">
        <f>SUM('Working Data'!R164,'Working Data'!S164,'Working Data'!T164)</f>
        <v>425.9</v>
      </c>
      <c r="K164" s="4">
        <f>SUM('Working Data'!AC164,'Working Data'!Z164,'Working Data'!Q164)</f>
        <v>406.6</v>
      </c>
      <c r="L164" s="4">
        <v>136.19999999999999</v>
      </c>
    </row>
    <row r="165" spans="1:12" hidden="1" x14ac:dyDescent="0.3">
      <c r="A165" s="2" t="s">
        <v>33</v>
      </c>
      <c r="B165" s="2">
        <v>2017</v>
      </c>
      <c r="C165" s="2" t="s">
        <v>40</v>
      </c>
      <c r="D165">
        <f>SUM(Table13[[#This Row],[Cereals and products]:[Food and beverages]])</f>
        <v>1768.1</v>
      </c>
      <c r="E165" s="13">
        <v>119.7</v>
      </c>
      <c r="F165" s="13">
        <v>113.2</v>
      </c>
      <c r="G165" s="13">
        <v>135.5</v>
      </c>
      <c r="H165" s="4">
        <f>SUM('Working Data'!X165,'Working Data'!AB165)</f>
        <v>247.4</v>
      </c>
      <c r="I165" s="4">
        <f>SUM('Working Data'!U165,'Working Data'!W165)</f>
        <v>259.8</v>
      </c>
      <c r="J165" s="4">
        <f>SUM('Working Data'!R165,'Working Data'!S165,'Working Data'!T165)</f>
        <v>385.70000000000005</v>
      </c>
      <c r="K165" s="4">
        <f>SUM('Working Data'!AC165,'Working Data'!Z165,'Working Data'!Q165)</f>
        <v>397</v>
      </c>
      <c r="L165" s="4">
        <v>131.80000000000001</v>
      </c>
    </row>
    <row r="166" spans="1:12" hidden="1" x14ac:dyDescent="0.3">
      <c r="A166" s="1" t="s">
        <v>34</v>
      </c>
      <c r="B166" s="1">
        <v>2017</v>
      </c>
      <c r="C166" s="1" t="s">
        <v>40</v>
      </c>
      <c r="D166">
        <f>SUM(Table13[[#This Row],[Cereals and products]:[Food and beverages]])</f>
        <v>1769.3999999999999</v>
      </c>
      <c r="E166" s="12">
        <v>129.4</v>
      </c>
      <c r="F166" s="12">
        <v>116</v>
      </c>
      <c r="G166" s="12">
        <v>136.80000000000001</v>
      </c>
      <c r="H166" s="4">
        <f>SUM('Working Data'!X166,'Working Data'!AB166)</f>
        <v>253</v>
      </c>
      <c r="I166" s="4">
        <f>SUM('Working Data'!U166,'Working Data'!W166)</f>
        <v>264.5</v>
      </c>
      <c r="J166" s="4">
        <f>SUM('Working Data'!R166,'Working Data'!S166,'Working Data'!T166)</f>
        <v>409.7</v>
      </c>
      <c r="K166" s="4">
        <f>SUM('Working Data'!AC166,'Working Data'!Z166,'Working Data'!Q166)</f>
        <v>400.7</v>
      </c>
      <c r="L166" s="4">
        <v>134.19999999999999</v>
      </c>
    </row>
    <row r="167" spans="1:12" hidden="1" x14ac:dyDescent="0.3">
      <c r="A167" s="2" t="s">
        <v>30</v>
      </c>
      <c r="B167" s="2">
        <v>2017</v>
      </c>
      <c r="C167" s="2" t="s">
        <v>41</v>
      </c>
      <c r="D167">
        <f>SUM(Table13[[#This Row],[Cereals and products]:[Food and beverages]])</f>
        <v>1792.4999999999998</v>
      </c>
      <c r="E167" s="13">
        <v>136.4</v>
      </c>
      <c r="F167" s="13">
        <v>120.3</v>
      </c>
      <c r="G167" s="13">
        <v>140.19999999999999</v>
      </c>
      <c r="H167" s="4">
        <f>SUM('Working Data'!X167,'Working Data'!AB167)</f>
        <v>258.39999999999998</v>
      </c>
      <c r="I167" s="4">
        <f>SUM('Working Data'!U167,'Working Data'!W167)</f>
        <v>271.70000000000005</v>
      </c>
      <c r="J167" s="4">
        <f>SUM('Working Data'!R167,'Working Data'!S167,'Working Data'!T167)</f>
        <v>429</v>
      </c>
      <c r="K167" s="4">
        <f>SUM('Working Data'!AC167,'Working Data'!Z167,'Working Data'!Q167)</f>
        <v>410.2</v>
      </c>
      <c r="L167" s="4">
        <v>137.80000000000001</v>
      </c>
    </row>
    <row r="168" spans="1:12" hidden="1" x14ac:dyDescent="0.3">
      <c r="A168" s="1" t="s">
        <v>33</v>
      </c>
      <c r="B168" s="1">
        <v>2017</v>
      </c>
      <c r="C168" s="1" t="s">
        <v>41</v>
      </c>
      <c r="D168">
        <f>SUM(Table13[[#This Row],[Cereals and products]:[Food and beverages]])</f>
        <v>1772.9999999999998</v>
      </c>
      <c r="E168" s="12">
        <v>118.9</v>
      </c>
      <c r="F168" s="12">
        <v>114.6</v>
      </c>
      <c r="G168" s="12">
        <v>135.69999999999999</v>
      </c>
      <c r="H168" s="4">
        <f>SUM('Working Data'!X168,'Working Data'!AB168)</f>
        <v>249</v>
      </c>
      <c r="I168" s="4">
        <f>SUM('Working Data'!U168,'Working Data'!W168)</f>
        <v>262.10000000000002</v>
      </c>
      <c r="J168" s="4">
        <f>SUM('Working Data'!R168,'Working Data'!S168,'Working Data'!T168)</f>
        <v>388.4</v>
      </c>
      <c r="K168" s="4">
        <f>SUM('Working Data'!AC168,'Working Data'!Z168,'Working Data'!Q168)</f>
        <v>400</v>
      </c>
      <c r="L168" s="4">
        <v>132.69999999999999</v>
      </c>
    </row>
    <row r="169" spans="1:12" hidden="1" x14ac:dyDescent="0.3">
      <c r="A169" s="2" t="s">
        <v>34</v>
      </c>
      <c r="B169" s="2">
        <v>2017</v>
      </c>
      <c r="C169" s="2" t="s">
        <v>41</v>
      </c>
      <c r="D169">
        <f>SUM(Table13[[#This Row],[Cereals and products]:[Food and beverages]])</f>
        <v>1783.8</v>
      </c>
      <c r="E169" s="13">
        <v>129.80000000000001</v>
      </c>
      <c r="F169" s="13">
        <v>117.3</v>
      </c>
      <c r="G169" s="13">
        <v>137.6</v>
      </c>
      <c r="H169" s="4">
        <f>SUM('Working Data'!X169,'Working Data'!AB169)</f>
        <v>254.7</v>
      </c>
      <c r="I169" s="4">
        <f>SUM('Working Data'!U169,'Working Data'!W169)</f>
        <v>267.20000000000005</v>
      </c>
      <c r="J169" s="4">
        <f>SUM('Working Data'!R169,'Working Data'!S169,'Working Data'!T169)</f>
        <v>412.6</v>
      </c>
      <c r="K169" s="4">
        <f>SUM('Working Data'!AC169,'Working Data'!Z169,'Working Data'!Q169)</f>
        <v>403.9</v>
      </c>
      <c r="L169" s="4">
        <v>135.4</v>
      </c>
    </row>
    <row r="170" spans="1:12" hidden="1" x14ac:dyDescent="0.3">
      <c r="A170" s="1" t="s">
        <v>30</v>
      </c>
      <c r="B170" s="1">
        <v>2017</v>
      </c>
      <c r="C170" s="1" t="s">
        <v>42</v>
      </c>
      <c r="D170">
        <f>SUM(Table13[[#This Row],[Cereals and products]:[Food and beverages]])</f>
        <v>1784.3</v>
      </c>
      <c r="E170" s="12">
        <v>137.4</v>
      </c>
      <c r="F170" s="12">
        <v>121.2</v>
      </c>
      <c r="G170" s="12">
        <v>139.6</v>
      </c>
      <c r="H170" s="4">
        <f>SUM('Working Data'!X170,'Working Data'!AB170)</f>
        <v>260.10000000000002</v>
      </c>
      <c r="I170" s="4">
        <f>SUM('Working Data'!U170,'Working Data'!W170)</f>
        <v>273.60000000000002</v>
      </c>
      <c r="J170" s="4">
        <f>SUM('Working Data'!R170,'Working Data'!S170,'Working Data'!T170)</f>
        <v>430.99999999999994</v>
      </c>
      <c r="K170" s="4">
        <f>SUM('Working Data'!AC170,'Working Data'!Z170,'Working Data'!Q170)</f>
        <v>412.40000000000003</v>
      </c>
      <c r="L170" s="4">
        <v>137.6</v>
      </c>
    </row>
    <row r="171" spans="1:12" hidden="1" x14ac:dyDescent="0.3">
      <c r="A171" s="2" t="s">
        <v>33</v>
      </c>
      <c r="B171" s="2">
        <v>2017</v>
      </c>
      <c r="C171" s="2" t="s">
        <v>42</v>
      </c>
      <c r="D171">
        <f>SUM(Table13[[#This Row],[Cereals and products]:[Food and beverages]])</f>
        <v>1749.7</v>
      </c>
      <c r="E171" s="13">
        <v>120.6</v>
      </c>
      <c r="F171" s="13">
        <v>115.7</v>
      </c>
      <c r="G171" s="13">
        <v>135.9</v>
      </c>
      <c r="H171" s="4">
        <f>SUM('Working Data'!X171,'Working Data'!AB171)</f>
        <v>250.5</v>
      </c>
      <c r="I171" s="4">
        <f>SUM('Working Data'!U171,'Working Data'!W171)</f>
        <v>263.79999999999995</v>
      </c>
      <c r="J171" s="4">
        <f>SUM('Working Data'!R171,'Working Data'!S171,'Working Data'!T171)</f>
        <v>389.9</v>
      </c>
      <c r="K171" s="4">
        <f>SUM('Working Data'!AC171,'Working Data'!Z171,'Working Data'!Q171)</f>
        <v>402.6</v>
      </c>
      <c r="L171" s="4">
        <v>132.4</v>
      </c>
    </row>
    <row r="172" spans="1:12" hidden="1" x14ac:dyDescent="0.3">
      <c r="A172" s="1" t="s">
        <v>34</v>
      </c>
      <c r="B172" s="1">
        <v>2017</v>
      </c>
      <c r="C172" s="1" t="s">
        <v>42</v>
      </c>
      <c r="D172">
        <f>SUM(Table13[[#This Row],[Cereals and products]:[Food and beverages]])</f>
        <v>1769.9999999999998</v>
      </c>
      <c r="E172" s="12">
        <v>131</v>
      </c>
      <c r="F172" s="12">
        <v>118.3</v>
      </c>
      <c r="G172" s="12">
        <v>137.4</v>
      </c>
      <c r="H172" s="4">
        <f>SUM('Working Data'!X172,'Working Data'!AB172)</f>
        <v>256.3</v>
      </c>
      <c r="I172" s="4">
        <f>SUM('Working Data'!U172,'Working Data'!W172)</f>
        <v>269</v>
      </c>
      <c r="J172" s="4">
        <f>SUM('Working Data'!R172,'Working Data'!S172,'Working Data'!T172)</f>
        <v>414.5</v>
      </c>
      <c r="K172" s="4">
        <f>SUM('Working Data'!AC172,'Working Data'!Z172,'Working Data'!Q172)</f>
        <v>406.20000000000005</v>
      </c>
      <c r="L172" s="4">
        <v>135.19999999999999</v>
      </c>
    </row>
    <row r="173" spans="1:12" hidden="1" x14ac:dyDescent="0.3">
      <c r="A173" s="2" t="s">
        <v>30</v>
      </c>
      <c r="B173" s="2">
        <v>2017</v>
      </c>
      <c r="C173" s="2" t="s">
        <v>43</v>
      </c>
      <c r="D173">
        <f>SUM(Table13[[#This Row],[Cereals and products]:[Food and beverages]])</f>
        <v>1790.8999999999999</v>
      </c>
      <c r="E173" s="13">
        <v>138.1</v>
      </c>
      <c r="F173" s="13">
        <v>121</v>
      </c>
      <c r="G173" s="13">
        <v>140.1</v>
      </c>
      <c r="H173" s="4">
        <f>SUM('Working Data'!X173,'Working Data'!AB173)</f>
        <v>261.60000000000002</v>
      </c>
      <c r="I173" s="4">
        <f>SUM('Working Data'!U173,'Working Data'!W173)</f>
        <v>275.70000000000005</v>
      </c>
      <c r="J173" s="4">
        <f>SUM('Working Data'!R173,'Working Data'!S173,'Working Data'!T173)</f>
        <v>433.99999999999994</v>
      </c>
      <c r="K173" s="4">
        <f>SUM('Working Data'!AC173,'Working Data'!Z173,'Working Data'!Q173)</f>
        <v>414.2</v>
      </c>
      <c r="L173" s="4">
        <v>138.30000000000001</v>
      </c>
    </row>
    <row r="174" spans="1:12" hidden="1" x14ac:dyDescent="0.3">
      <c r="A174" s="1" t="s">
        <v>33</v>
      </c>
      <c r="B174" s="1">
        <v>2017</v>
      </c>
      <c r="C174" s="1" t="s">
        <v>43</v>
      </c>
      <c r="D174">
        <f>SUM(Table13[[#This Row],[Cereals and products]:[Food and beverages]])</f>
        <v>1765.6999999999998</v>
      </c>
      <c r="E174" s="12">
        <v>122.6</v>
      </c>
      <c r="F174" s="12">
        <v>115</v>
      </c>
      <c r="G174" s="12">
        <v>136.30000000000001</v>
      </c>
      <c r="H174" s="4">
        <f>SUM('Working Data'!X174,'Working Data'!AB174)</f>
        <v>251.2</v>
      </c>
      <c r="I174" s="4">
        <f>SUM('Working Data'!U174,'Working Data'!W174)</f>
        <v>265.60000000000002</v>
      </c>
      <c r="J174" s="4">
        <f>SUM('Working Data'!R174,'Working Data'!S174,'Working Data'!T174)</f>
        <v>391.5</v>
      </c>
      <c r="K174" s="4">
        <f>SUM('Working Data'!AC174,'Working Data'!Z174,'Working Data'!Q174)</f>
        <v>403.9</v>
      </c>
      <c r="L174" s="4">
        <v>133.5</v>
      </c>
    </row>
    <row r="175" spans="1:12" hidden="1" x14ac:dyDescent="0.3">
      <c r="A175" s="2" t="s">
        <v>34</v>
      </c>
      <c r="B175" s="2">
        <v>2017</v>
      </c>
      <c r="C175" s="2" t="s">
        <v>43</v>
      </c>
      <c r="D175">
        <f>SUM(Table13[[#This Row],[Cereals and products]:[Food and beverages]])</f>
        <v>1779.6999999999998</v>
      </c>
      <c r="E175" s="13">
        <v>132.19999999999999</v>
      </c>
      <c r="F175" s="13">
        <v>117.8</v>
      </c>
      <c r="G175" s="13">
        <v>137.9</v>
      </c>
      <c r="H175" s="4">
        <f>SUM('Working Data'!X175,'Working Data'!AB175)</f>
        <v>257.5</v>
      </c>
      <c r="I175" s="4">
        <f>SUM('Working Data'!U175,'Working Data'!W175)</f>
        <v>270.89999999999998</v>
      </c>
      <c r="J175" s="4">
        <f>SUM('Working Data'!R175,'Working Data'!S175,'Working Data'!T175)</f>
        <v>416.90000000000003</v>
      </c>
      <c r="K175" s="4">
        <f>SUM('Working Data'!AC175,'Working Data'!Z175,'Working Data'!Q175)</f>
        <v>407.70000000000005</v>
      </c>
      <c r="L175" s="4">
        <v>136.1</v>
      </c>
    </row>
    <row r="176" spans="1:12" hidden="1" x14ac:dyDescent="0.3">
      <c r="A176" s="1" t="s">
        <v>30</v>
      </c>
      <c r="B176" s="1">
        <v>2017</v>
      </c>
      <c r="C176" s="1" t="s">
        <v>45</v>
      </c>
      <c r="D176">
        <f>SUM(Table13[[#This Row],[Cereals and products]:[Food and beverages]])</f>
        <v>1817.7000000000003</v>
      </c>
      <c r="E176" s="12">
        <v>141.1</v>
      </c>
      <c r="F176" s="12">
        <v>121.6</v>
      </c>
      <c r="G176" s="12">
        <v>141.5</v>
      </c>
      <c r="H176" s="4">
        <f>SUM('Working Data'!X176,'Working Data'!AB176)</f>
        <v>263.89999999999998</v>
      </c>
      <c r="I176" s="4">
        <f>SUM('Working Data'!U176,'Working Data'!W176)</f>
        <v>278</v>
      </c>
      <c r="J176" s="4">
        <f>SUM('Working Data'!R176,'Working Data'!S176,'Working Data'!T176)</f>
        <v>437</v>
      </c>
      <c r="K176" s="4">
        <f>SUM('Working Data'!AC176,'Working Data'!Z176,'Working Data'!Q176)</f>
        <v>417.5</v>
      </c>
      <c r="L176" s="4">
        <v>140</v>
      </c>
    </row>
    <row r="177" spans="1:12" hidden="1" x14ac:dyDescent="0.3">
      <c r="A177" s="2" t="s">
        <v>33</v>
      </c>
      <c r="B177" s="2">
        <v>2017</v>
      </c>
      <c r="C177" s="2" t="s">
        <v>45</v>
      </c>
      <c r="D177">
        <f>SUM(Table13[[#This Row],[Cereals and products]:[Food and beverages]])</f>
        <v>1796.7</v>
      </c>
      <c r="E177" s="13">
        <v>125.7</v>
      </c>
      <c r="F177" s="13">
        <v>115.3</v>
      </c>
      <c r="G177" s="13">
        <v>136.6</v>
      </c>
      <c r="H177" s="4">
        <f>SUM('Working Data'!X177,'Working Data'!AB177)</f>
        <v>252.3</v>
      </c>
      <c r="I177" s="4">
        <f>SUM('Working Data'!U177,'Working Data'!W177)</f>
        <v>267.39999999999998</v>
      </c>
      <c r="J177" s="4">
        <f>SUM('Working Data'!R177,'Working Data'!S177,'Working Data'!T177)</f>
        <v>393.9</v>
      </c>
      <c r="K177" s="4">
        <f>SUM('Working Data'!AC177,'Working Data'!Z177,'Working Data'!Q177)</f>
        <v>406.2</v>
      </c>
      <c r="L177" s="4">
        <v>134.80000000000001</v>
      </c>
    </row>
    <row r="178" spans="1:12" hidden="1" x14ac:dyDescent="0.3">
      <c r="A178" s="1" t="s">
        <v>34</v>
      </c>
      <c r="B178" s="1">
        <v>2017</v>
      </c>
      <c r="C178" s="1" t="s">
        <v>45</v>
      </c>
      <c r="D178">
        <f>SUM(Table13[[#This Row],[Cereals and products]:[Food and beverages]])</f>
        <v>1808.2</v>
      </c>
      <c r="E178" s="12">
        <v>135.30000000000001</v>
      </c>
      <c r="F178" s="12">
        <v>118.3</v>
      </c>
      <c r="G178" s="12">
        <v>138.6</v>
      </c>
      <c r="H178" s="4">
        <f>SUM('Working Data'!X178,'Working Data'!AB178)</f>
        <v>259.39999999999998</v>
      </c>
      <c r="I178" s="4">
        <f>SUM('Working Data'!U178,'Working Data'!W178)</f>
        <v>273</v>
      </c>
      <c r="J178" s="4">
        <f>SUM('Working Data'!R178,'Working Data'!S178,'Working Data'!T178)</f>
        <v>419.6</v>
      </c>
      <c r="K178" s="4">
        <f>SUM('Working Data'!AC178,'Working Data'!Z178,'Working Data'!Q178)</f>
        <v>410.5</v>
      </c>
      <c r="L178" s="4">
        <v>137.6</v>
      </c>
    </row>
    <row r="179" spans="1:12" hidden="1" x14ac:dyDescent="0.3">
      <c r="A179" s="2" t="s">
        <v>30</v>
      </c>
      <c r="B179" s="2">
        <v>2017</v>
      </c>
      <c r="C179" s="2" t="s">
        <v>46</v>
      </c>
      <c r="D179">
        <f>SUM(Table13[[#This Row],[Cereals and products]:[Food and beverages]])</f>
        <v>1813.6000000000001</v>
      </c>
      <c r="E179" s="13">
        <v>142.6</v>
      </c>
      <c r="F179" s="13">
        <v>122</v>
      </c>
      <c r="G179" s="13">
        <v>141.1</v>
      </c>
      <c r="H179" s="4">
        <f>SUM('Working Data'!X179,'Working Data'!AB179)</f>
        <v>263.89999999999998</v>
      </c>
      <c r="I179" s="4">
        <f>SUM('Working Data'!U179,'Working Data'!W179)</f>
        <v>278.60000000000002</v>
      </c>
      <c r="J179" s="4">
        <f>SUM('Working Data'!R179,'Working Data'!S179,'Working Data'!T179)</f>
        <v>437.09999999999997</v>
      </c>
      <c r="K179" s="4">
        <f>SUM('Working Data'!AC179,'Working Data'!Z179,'Working Data'!Q179)</f>
        <v>418.5</v>
      </c>
      <c r="L179" s="4">
        <v>139.80000000000001</v>
      </c>
    </row>
    <row r="180" spans="1:12" hidden="1" x14ac:dyDescent="0.3">
      <c r="A180" s="1" t="s">
        <v>33</v>
      </c>
      <c r="B180" s="1">
        <v>2017</v>
      </c>
      <c r="C180" s="1" t="s">
        <v>46</v>
      </c>
      <c r="D180">
        <f>SUM(Table13[[#This Row],[Cereals and products]:[Food and beverages]])</f>
        <v>1767.5</v>
      </c>
      <c r="E180" s="12">
        <v>126.8</v>
      </c>
      <c r="F180" s="12">
        <v>115.3</v>
      </c>
      <c r="G180" s="12">
        <v>136.69999999999999</v>
      </c>
      <c r="H180" s="4">
        <f>SUM('Working Data'!X180,'Working Data'!AB180)</f>
        <v>252.79999999999998</v>
      </c>
      <c r="I180" s="4">
        <f>SUM('Working Data'!U180,'Working Data'!W180)</f>
        <v>268.39999999999998</v>
      </c>
      <c r="J180" s="4">
        <f>SUM('Working Data'!R180,'Working Data'!S180,'Working Data'!T180)</f>
        <v>395.2</v>
      </c>
      <c r="K180" s="4">
        <f>SUM('Working Data'!AC180,'Working Data'!Z180,'Working Data'!Q180)</f>
        <v>407.7</v>
      </c>
      <c r="L180" s="4">
        <v>134.1</v>
      </c>
    </row>
    <row r="181" spans="1:12" hidden="1" x14ac:dyDescent="0.3">
      <c r="A181" s="2" t="s">
        <v>34</v>
      </c>
      <c r="B181" s="2">
        <v>2017</v>
      </c>
      <c r="C181" s="2" t="s">
        <v>46</v>
      </c>
      <c r="D181">
        <f>SUM(Table13[[#This Row],[Cereals and products]:[Food and beverages]])</f>
        <v>1794.9999999999998</v>
      </c>
      <c r="E181" s="13">
        <v>136.6</v>
      </c>
      <c r="F181" s="13">
        <v>118.5</v>
      </c>
      <c r="G181" s="13">
        <v>138.5</v>
      </c>
      <c r="H181" s="4">
        <f>SUM('Working Data'!X181,'Working Data'!AB181)</f>
        <v>259.60000000000002</v>
      </c>
      <c r="I181" s="4">
        <f>SUM('Working Data'!U181,'Working Data'!W181)</f>
        <v>273.79999999999995</v>
      </c>
      <c r="J181" s="4">
        <f>SUM('Working Data'!R181,'Working Data'!S181,'Working Data'!T181)</f>
        <v>420.2</v>
      </c>
      <c r="K181" s="4">
        <f>SUM('Working Data'!AC181,'Working Data'!Z181,'Working Data'!Q181)</f>
        <v>411.8</v>
      </c>
      <c r="L181" s="4">
        <v>137.19999999999999</v>
      </c>
    </row>
    <row r="182" spans="1:12" hidden="1" x14ac:dyDescent="0.3">
      <c r="A182" s="1" t="s">
        <v>30</v>
      </c>
      <c r="B182" s="1">
        <v>2018</v>
      </c>
      <c r="C182" s="1" t="s">
        <v>31</v>
      </c>
      <c r="D182">
        <f>SUM(Table13[[#This Row],[Cereals and products]:[Food and beverages]])</f>
        <v>1800.7</v>
      </c>
      <c r="E182" s="12">
        <v>142.30000000000001</v>
      </c>
      <c r="F182" s="12">
        <v>122.7</v>
      </c>
      <c r="G182" s="12">
        <v>141.6</v>
      </c>
      <c r="H182" s="4">
        <f>SUM('Working Data'!X182,'Working Data'!AB182)</f>
        <v>264.60000000000002</v>
      </c>
      <c r="I182" s="4">
        <f>SUM('Working Data'!U182,'Working Data'!W182)</f>
        <v>280.20000000000005</v>
      </c>
      <c r="J182" s="4">
        <f>SUM('Working Data'!R182,'Working Data'!S182,'Working Data'!T182)</f>
        <v>438.1</v>
      </c>
      <c r="K182" s="4">
        <f>SUM('Working Data'!AC182,'Working Data'!Z182,'Working Data'!Q182)</f>
        <v>420.20000000000005</v>
      </c>
      <c r="L182" s="4">
        <v>139.30000000000001</v>
      </c>
    </row>
    <row r="183" spans="1:12" hidden="1" x14ac:dyDescent="0.3">
      <c r="A183" s="2" t="s">
        <v>33</v>
      </c>
      <c r="B183" s="2">
        <v>2018</v>
      </c>
      <c r="C183" s="2" t="s">
        <v>31</v>
      </c>
      <c r="D183">
        <f>SUM(Table13[[#This Row],[Cereals and products]:[Food and beverages]])</f>
        <v>1748.3000000000002</v>
      </c>
      <c r="E183" s="13">
        <v>127.3</v>
      </c>
      <c r="F183" s="13">
        <v>116.3</v>
      </c>
      <c r="G183" s="13">
        <v>137.1</v>
      </c>
      <c r="H183" s="4">
        <f>SUM('Working Data'!X183,'Working Data'!AB183)</f>
        <v>254.5</v>
      </c>
      <c r="I183" s="4">
        <f>SUM('Working Data'!U183,'Working Data'!W183)</f>
        <v>269.89999999999998</v>
      </c>
      <c r="J183" s="4">
        <f>SUM('Working Data'!R183,'Working Data'!S183,'Working Data'!T183)</f>
        <v>396.29999999999995</v>
      </c>
      <c r="K183" s="4">
        <f>SUM('Working Data'!AC183,'Working Data'!Z183,'Working Data'!Q183)</f>
        <v>409.7</v>
      </c>
      <c r="L183" s="4">
        <v>134.1</v>
      </c>
    </row>
    <row r="184" spans="1:12" hidden="1" x14ac:dyDescent="0.3">
      <c r="A184" s="1" t="s">
        <v>34</v>
      </c>
      <c r="B184" s="1">
        <v>2018</v>
      </c>
      <c r="C184" s="1" t="s">
        <v>31</v>
      </c>
      <c r="D184">
        <f>SUM(Table13[[#This Row],[Cereals and products]:[Food and beverages]])</f>
        <v>1779.9</v>
      </c>
      <c r="E184" s="12">
        <v>136.6</v>
      </c>
      <c r="F184" s="12">
        <v>119.3</v>
      </c>
      <c r="G184" s="12">
        <v>139</v>
      </c>
      <c r="H184" s="4">
        <f>SUM('Working Data'!X184,'Working Data'!AB184)</f>
        <v>260.60000000000002</v>
      </c>
      <c r="I184" s="4">
        <f>SUM('Working Data'!U184,'Working Data'!W184)</f>
        <v>275.3</v>
      </c>
      <c r="J184" s="4">
        <f>SUM('Working Data'!R184,'Working Data'!S184,'Working Data'!T184)</f>
        <v>421.3</v>
      </c>
      <c r="K184" s="4">
        <f>SUM('Working Data'!AC184,'Working Data'!Z184,'Working Data'!Q184)</f>
        <v>413.49999999999994</v>
      </c>
      <c r="L184" s="4">
        <v>136.9</v>
      </c>
    </row>
    <row r="185" spans="1:12" hidden="1" x14ac:dyDescent="0.3">
      <c r="A185" s="2" t="s">
        <v>30</v>
      </c>
      <c r="B185" s="2">
        <v>2018</v>
      </c>
      <c r="C185" s="2" t="s">
        <v>35</v>
      </c>
      <c r="D185">
        <f>SUM(Table13[[#This Row],[Cereals and products]:[Food and beverages]])</f>
        <v>1781.5</v>
      </c>
      <c r="E185" s="13">
        <v>142.4</v>
      </c>
      <c r="F185" s="13">
        <v>123.3</v>
      </c>
      <c r="G185" s="13">
        <v>141.5</v>
      </c>
      <c r="H185" s="4">
        <f>SUM('Working Data'!X185,'Working Data'!AB185)</f>
        <v>265</v>
      </c>
      <c r="I185" s="4">
        <f>SUM('Working Data'!U185,'Working Data'!W185)</f>
        <v>281.20000000000005</v>
      </c>
      <c r="J185" s="4">
        <f>SUM('Working Data'!R185,'Working Data'!S185,'Working Data'!T185)</f>
        <v>438.90000000000003</v>
      </c>
      <c r="K185" s="4">
        <f>SUM('Working Data'!AC185,'Working Data'!Z185,'Working Data'!Q185)</f>
        <v>420.1</v>
      </c>
      <c r="L185" s="4">
        <v>138.5</v>
      </c>
    </row>
    <row r="186" spans="1:12" hidden="1" x14ac:dyDescent="0.3">
      <c r="A186" s="1" t="s">
        <v>33</v>
      </c>
      <c r="B186" s="1">
        <v>2018</v>
      </c>
      <c r="C186" s="1" t="s">
        <v>35</v>
      </c>
      <c r="D186">
        <f>SUM(Table13[[#This Row],[Cereals and products]:[Food and beverages]])</f>
        <v>1727.9</v>
      </c>
      <c r="E186" s="12">
        <v>127.3</v>
      </c>
      <c r="F186" s="12">
        <v>117.4</v>
      </c>
      <c r="G186" s="12">
        <v>137.19999999999999</v>
      </c>
      <c r="H186" s="4">
        <f>SUM('Working Data'!X186,'Working Data'!AB186)</f>
        <v>256</v>
      </c>
      <c r="I186" s="4">
        <f>SUM('Working Data'!U186,'Working Data'!W186)</f>
        <v>271.20000000000005</v>
      </c>
      <c r="J186" s="4">
        <f>SUM('Working Data'!R186,'Working Data'!S186,'Working Data'!T186)</f>
        <v>397.09999999999997</v>
      </c>
      <c r="K186" s="4">
        <f>SUM('Working Data'!AC186,'Working Data'!Z186,'Working Data'!Q186)</f>
        <v>412.3</v>
      </c>
      <c r="L186" s="4">
        <v>134</v>
      </c>
    </row>
    <row r="187" spans="1:12" hidden="1" x14ac:dyDescent="0.3">
      <c r="A187" s="2" t="s">
        <v>34</v>
      </c>
      <c r="B187" s="2">
        <v>2018</v>
      </c>
      <c r="C187" s="2" t="s">
        <v>35</v>
      </c>
      <c r="D187">
        <f>SUM(Table13[[#This Row],[Cereals and products]:[Food and beverages]])</f>
        <v>1760.3999999999996</v>
      </c>
      <c r="E187" s="13">
        <v>136.69999999999999</v>
      </c>
      <c r="F187" s="13">
        <v>120.2</v>
      </c>
      <c r="G187" s="13">
        <v>139</v>
      </c>
      <c r="H187" s="4">
        <f>SUM('Working Data'!X187,'Working Data'!AB187)</f>
        <v>261.5</v>
      </c>
      <c r="I187" s="4">
        <f>SUM('Working Data'!U187,'Working Data'!W187)</f>
        <v>276.5</v>
      </c>
      <c r="J187" s="4">
        <f>SUM('Working Data'!R187,'Working Data'!S187,'Working Data'!T187)</f>
        <v>422</v>
      </c>
      <c r="K187" s="4">
        <f>SUM('Working Data'!AC187,'Working Data'!Z187,'Working Data'!Q187)</f>
        <v>414.4</v>
      </c>
      <c r="L187" s="4">
        <v>136.4</v>
      </c>
    </row>
    <row r="188" spans="1:12" hidden="1" x14ac:dyDescent="0.3">
      <c r="A188" s="1" t="s">
        <v>30</v>
      </c>
      <c r="B188" s="1">
        <v>2018</v>
      </c>
      <c r="C188" s="1" t="s">
        <v>36</v>
      </c>
      <c r="D188">
        <f>SUM(Table13[[#This Row],[Cereals and products]:[Food and beverages]])</f>
        <v>1781.9999999999998</v>
      </c>
      <c r="E188" s="12">
        <v>142.6</v>
      </c>
      <c r="F188" s="12">
        <v>124.6</v>
      </c>
      <c r="G188" s="12">
        <v>142.69999999999999</v>
      </c>
      <c r="H188" s="4">
        <f>SUM('Working Data'!X188,'Working Data'!AB188)</f>
        <v>266</v>
      </c>
      <c r="I188" s="4">
        <f>SUM('Working Data'!U188,'Working Data'!W188)</f>
        <v>281.89999999999998</v>
      </c>
      <c r="J188" s="4">
        <f>SUM('Working Data'!R188,'Working Data'!S188,'Working Data'!T188)</f>
        <v>440.5</v>
      </c>
      <c r="K188" s="4">
        <f>SUM('Working Data'!AC188,'Working Data'!Z188,'Working Data'!Q188)</f>
        <v>423.5</v>
      </c>
      <c r="L188" s="4">
        <v>138.69999999999999</v>
      </c>
    </row>
    <row r="189" spans="1:12" hidden="1" x14ac:dyDescent="0.3">
      <c r="A189" s="2" t="s">
        <v>33</v>
      </c>
      <c r="B189" s="2">
        <v>2018</v>
      </c>
      <c r="C189" s="2" t="s">
        <v>36</v>
      </c>
      <c r="D189">
        <f>SUM(Table13[[#This Row],[Cereals and products]:[Food and beverages]])</f>
        <v>1715.5</v>
      </c>
      <c r="E189" s="13">
        <v>126.4</v>
      </c>
      <c r="F189" s="13">
        <v>117.8</v>
      </c>
      <c r="G189" s="13">
        <v>137.80000000000001</v>
      </c>
      <c r="H189" s="4">
        <f>SUM('Working Data'!X189,'Working Data'!AB189)</f>
        <v>257.2</v>
      </c>
      <c r="I189" s="4">
        <f>SUM('Working Data'!U189,'Working Data'!W189)</f>
        <v>272.8</v>
      </c>
      <c r="J189" s="4">
        <f>SUM('Working Data'!R189,'Working Data'!S189,'Working Data'!T189)</f>
        <v>398.59999999999997</v>
      </c>
      <c r="K189" s="4">
        <f>SUM('Working Data'!AC189,'Working Data'!Z189,'Working Data'!Q189)</f>
        <v>413.59999999999997</v>
      </c>
      <c r="L189" s="4">
        <v>134</v>
      </c>
    </row>
    <row r="190" spans="1:12" hidden="1" x14ac:dyDescent="0.3">
      <c r="A190" s="1" t="s">
        <v>34</v>
      </c>
      <c r="B190" s="1">
        <v>2018</v>
      </c>
      <c r="C190" s="1" t="s">
        <v>36</v>
      </c>
      <c r="D190">
        <f>SUM(Table13[[#This Row],[Cereals and products]:[Food and beverages]])</f>
        <v>1756</v>
      </c>
      <c r="E190" s="12">
        <v>136.5</v>
      </c>
      <c r="F190" s="12">
        <v>121</v>
      </c>
      <c r="G190" s="12">
        <v>139.80000000000001</v>
      </c>
      <c r="H190" s="4">
        <f>SUM('Working Data'!X190,'Working Data'!AB190)</f>
        <v>262.5</v>
      </c>
      <c r="I190" s="4">
        <f>SUM('Working Data'!U190,'Working Data'!W190)</f>
        <v>277.60000000000002</v>
      </c>
      <c r="J190" s="4">
        <f>SUM('Working Data'!R190,'Working Data'!S190,'Working Data'!T190)</f>
        <v>423.6</v>
      </c>
      <c r="K190" s="4">
        <f>SUM('Working Data'!AC190,'Working Data'!Z190,'Working Data'!Q190)</f>
        <v>417.00000000000006</v>
      </c>
      <c r="L190" s="4">
        <v>136.5</v>
      </c>
    </row>
    <row r="191" spans="1:12" hidden="1" x14ac:dyDescent="0.3">
      <c r="A191" s="2" t="s">
        <v>30</v>
      </c>
      <c r="B191" s="2">
        <v>2018</v>
      </c>
      <c r="C191" s="2" t="s">
        <v>37</v>
      </c>
      <c r="D191">
        <f>SUM(Table13[[#This Row],[Cereals and products]:[Food and beverages]])</f>
        <v>1780</v>
      </c>
      <c r="E191" s="13">
        <v>143.80000000000001</v>
      </c>
      <c r="F191" s="13">
        <v>125.3</v>
      </c>
      <c r="G191" s="13">
        <v>143.69999999999999</v>
      </c>
      <c r="H191" s="4">
        <f>SUM('Working Data'!X191,'Working Data'!AB191)</f>
        <v>268</v>
      </c>
      <c r="I191" s="4">
        <f>SUM('Working Data'!U191,'Working Data'!W191)</f>
        <v>283.8</v>
      </c>
      <c r="J191" s="4">
        <f>SUM('Working Data'!R191,'Working Data'!S191,'Working Data'!T191)</f>
        <v>442.5</v>
      </c>
      <c r="K191" s="4">
        <f>SUM('Working Data'!AC191,'Working Data'!Z191,'Working Data'!Q191)</f>
        <v>426.29999999999995</v>
      </c>
      <c r="L191" s="4">
        <v>139.1</v>
      </c>
    </row>
    <row r="192" spans="1:12" hidden="1" x14ac:dyDescent="0.3">
      <c r="A192" s="1" t="s">
        <v>33</v>
      </c>
      <c r="B192" s="1">
        <v>2018</v>
      </c>
      <c r="C192" s="1" t="s">
        <v>37</v>
      </c>
      <c r="D192">
        <f>SUM(Table13[[#This Row],[Cereals and products]:[Food and beverages]])</f>
        <v>1720.0000000000002</v>
      </c>
      <c r="E192" s="12">
        <v>124.6</v>
      </c>
      <c r="F192" s="12">
        <v>118.9</v>
      </c>
      <c r="G192" s="12">
        <v>139.69999999999999</v>
      </c>
      <c r="H192" s="4">
        <f>SUM('Working Data'!X192,'Working Data'!AB192)</f>
        <v>258.89999999999998</v>
      </c>
      <c r="I192" s="4">
        <f>SUM('Working Data'!U192,'Working Data'!W192)</f>
        <v>274.70000000000005</v>
      </c>
      <c r="J192" s="4">
        <f>SUM('Working Data'!R192,'Working Data'!S192,'Working Data'!T192)</f>
        <v>401.40000000000003</v>
      </c>
      <c r="K192" s="4">
        <f>SUM('Working Data'!AC192,'Working Data'!Z192,'Working Data'!Q192)</f>
        <v>415</v>
      </c>
      <c r="L192" s="4">
        <v>134.80000000000001</v>
      </c>
    </row>
    <row r="193" spans="1:12" hidden="1" x14ac:dyDescent="0.3">
      <c r="A193" s="2" t="s">
        <v>34</v>
      </c>
      <c r="B193" s="2">
        <v>2018</v>
      </c>
      <c r="C193" s="2" t="s">
        <v>37</v>
      </c>
      <c r="D193">
        <f>SUM(Table13[[#This Row],[Cereals and products]:[Food and beverages]])</f>
        <v>1757.1000000000001</v>
      </c>
      <c r="E193" s="13">
        <v>136.5</v>
      </c>
      <c r="F193" s="13">
        <v>121.9</v>
      </c>
      <c r="G193" s="13">
        <v>141.4</v>
      </c>
      <c r="H193" s="4">
        <f>SUM('Working Data'!X193,'Working Data'!AB193)</f>
        <v>264.39999999999998</v>
      </c>
      <c r="I193" s="4">
        <f>SUM('Working Data'!U193,'Working Data'!W193)</f>
        <v>279.5</v>
      </c>
      <c r="J193" s="4">
        <f>SUM('Working Data'!R193,'Working Data'!S193,'Working Data'!T193)</f>
        <v>426</v>
      </c>
      <c r="K193" s="4">
        <f>SUM('Working Data'!AC193,'Working Data'!Z193,'Working Data'!Q193)</f>
        <v>419.5</v>
      </c>
      <c r="L193" s="4">
        <v>137.1</v>
      </c>
    </row>
    <row r="194" spans="1:12" hidden="1" x14ac:dyDescent="0.3">
      <c r="A194" s="1" t="s">
        <v>30</v>
      </c>
      <c r="B194" s="1">
        <v>2018</v>
      </c>
      <c r="C194" s="1" t="s">
        <v>38</v>
      </c>
      <c r="D194">
        <f>SUM(Table13[[#This Row],[Cereals and products]:[Food and beverages]])</f>
        <v>1782.4</v>
      </c>
      <c r="E194" s="12">
        <v>144.30000000000001</v>
      </c>
      <c r="F194" s="12">
        <v>126.4</v>
      </c>
      <c r="G194" s="12">
        <v>144.4</v>
      </c>
      <c r="H194" s="4">
        <f>SUM('Working Data'!X194,'Working Data'!AB194)</f>
        <v>269.60000000000002</v>
      </c>
      <c r="I194" s="4">
        <f>SUM('Working Data'!U194,'Working Data'!W194)</f>
        <v>285</v>
      </c>
      <c r="J194" s="4">
        <f>SUM('Working Data'!R194,'Working Data'!S194,'Working Data'!T194)</f>
        <v>444.7</v>
      </c>
      <c r="K194" s="4">
        <f>SUM('Working Data'!AC194,'Working Data'!Z194,'Working Data'!Q194)</f>
        <v>428.9</v>
      </c>
      <c r="L194" s="4">
        <v>139.80000000000001</v>
      </c>
    </row>
    <row r="195" spans="1:12" hidden="1" x14ac:dyDescent="0.3">
      <c r="A195" s="2" t="s">
        <v>33</v>
      </c>
      <c r="B195" s="2">
        <v>2018</v>
      </c>
      <c r="C195" s="2" t="s">
        <v>38</v>
      </c>
      <c r="D195">
        <f>SUM(Table13[[#This Row],[Cereals and products]:[Food and beverages]])</f>
        <v>1722.8999999999999</v>
      </c>
      <c r="E195" s="13">
        <v>124.7</v>
      </c>
      <c r="F195" s="13">
        <v>119.8</v>
      </c>
      <c r="G195" s="13">
        <v>140.4</v>
      </c>
      <c r="H195" s="4">
        <f>SUM('Working Data'!X195,'Working Data'!AB195)</f>
        <v>260.10000000000002</v>
      </c>
      <c r="I195" s="4">
        <f>SUM('Working Data'!U195,'Working Data'!W195)</f>
        <v>275.7</v>
      </c>
      <c r="J195" s="4">
        <f>SUM('Working Data'!R195,'Working Data'!S195,'Working Data'!T195)</f>
        <v>403.5</v>
      </c>
      <c r="K195" s="4">
        <f>SUM('Working Data'!AC195,'Working Data'!Z195,'Working Data'!Q195)</f>
        <v>417.2</v>
      </c>
      <c r="L195" s="4">
        <v>135.4</v>
      </c>
    </row>
    <row r="196" spans="1:12" hidden="1" x14ac:dyDescent="0.3">
      <c r="A196" s="1" t="s">
        <v>34</v>
      </c>
      <c r="B196" s="1">
        <v>2018</v>
      </c>
      <c r="C196" s="1" t="s">
        <v>38</v>
      </c>
      <c r="D196">
        <f>SUM(Table13[[#This Row],[Cereals and products]:[Food and beverages]])</f>
        <v>1759.8</v>
      </c>
      <c r="E196" s="12">
        <v>136.9</v>
      </c>
      <c r="F196" s="12">
        <v>122.9</v>
      </c>
      <c r="G196" s="12">
        <v>142.1</v>
      </c>
      <c r="H196" s="4">
        <f>SUM('Working Data'!X196,'Working Data'!AB196)</f>
        <v>265.89999999999998</v>
      </c>
      <c r="I196" s="4">
        <f>SUM('Working Data'!U196,'Working Data'!W196)</f>
        <v>280.60000000000002</v>
      </c>
      <c r="J196" s="4">
        <f>SUM('Working Data'!R196,'Working Data'!S196,'Working Data'!T196)</f>
        <v>428.09999999999997</v>
      </c>
      <c r="K196" s="4">
        <f>SUM('Working Data'!AC196,'Working Data'!Z196,'Working Data'!Q196)</f>
        <v>421.79999999999995</v>
      </c>
      <c r="L196" s="4">
        <v>137.80000000000001</v>
      </c>
    </row>
    <row r="197" spans="1:12" hidden="1" x14ac:dyDescent="0.3">
      <c r="A197" s="2" t="s">
        <v>30</v>
      </c>
      <c r="B197" s="2">
        <v>2018</v>
      </c>
      <c r="C197" s="2" t="s">
        <v>39</v>
      </c>
      <c r="D197">
        <f>SUM(Table13[[#This Row],[Cereals and products]:[Food and beverages]])</f>
        <v>1790.2999999999997</v>
      </c>
      <c r="E197" s="13">
        <v>145.1</v>
      </c>
      <c r="F197" s="13">
        <v>127.4</v>
      </c>
      <c r="G197" s="13">
        <v>145.1</v>
      </c>
      <c r="H197" s="4">
        <f>SUM('Working Data'!X197,'Working Data'!AB197)</f>
        <v>269.8</v>
      </c>
      <c r="I197" s="4">
        <f>SUM('Working Data'!U197,'Working Data'!W197)</f>
        <v>284.7</v>
      </c>
      <c r="J197" s="4">
        <f>SUM('Working Data'!R197,'Working Data'!S197,'Working Data'!T197)</f>
        <v>446.3</v>
      </c>
      <c r="K197" s="4">
        <f>SUM('Working Data'!AC197,'Working Data'!Z197,'Working Data'!Q197)</f>
        <v>430.7</v>
      </c>
      <c r="L197" s="4">
        <v>140.5</v>
      </c>
    </row>
    <row r="198" spans="1:12" hidden="1" x14ac:dyDescent="0.3">
      <c r="A198" s="1" t="s">
        <v>33</v>
      </c>
      <c r="B198" s="1">
        <v>2018</v>
      </c>
      <c r="C198" s="1" t="s">
        <v>39</v>
      </c>
      <c r="D198">
        <f>SUM(Table13[[#This Row],[Cereals and products]:[Food and beverages]])</f>
        <v>1747.3000000000002</v>
      </c>
      <c r="E198" s="12">
        <v>126.5</v>
      </c>
      <c r="F198" s="12">
        <v>120.4</v>
      </c>
      <c r="G198" s="12">
        <v>141.19999999999999</v>
      </c>
      <c r="H198" s="4">
        <f>SUM('Working Data'!X198,'Working Data'!AB198)</f>
        <v>260.79999999999995</v>
      </c>
      <c r="I198" s="4">
        <f>SUM('Working Data'!U198,'Working Data'!W198)</f>
        <v>275.60000000000002</v>
      </c>
      <c r="J198" s="4">
        <f>SUM('Working Data'!R198,'Working Data'!S198,'Working Data'!T198)</f>
        <v>405</v>
      </c>
      <c r="K198" s="4">
        <f>SUM('Working Data'!AC198,'Working Data'!Z198,'Working Data'!Q198)</f>
        <v>419</v>
      </c>
      <c r="L198" s="4">
        <v>136.19999999999999</v>
      </c>
    </row>
    <row r="199" spans="1:12" hidden="1" x14ac:dyDescent="0.3">
      <c r="A199" s="2" t="s">
        <v>34</v>
      </c>
      <c r="B199" s="2">
        <v>2018</v>
      </c>
      <c r="C199" s="2" t="s">
        <v>39</v>
      </c>
      <c r="D199">
        <f>SUM(Table13[[#This Row],[Cereals and products]:[Food and beverages]])</f>
        <v>1774.1000000000001</v>
      </c>
      <c r="E199" s="13">
        <v>138.1</v>
      </c>
      <c r="F199" s="13">
        <v>123.7</v>
      </c>
      <c r="G199" s="13">
        <v>142.80000000000001</v>
      </c>
      <c r="H199" s="4">
        <f>SUM('Working Data'!X199,'Working Data'!AB199)</f>
        <v>266.29999999999995</v>
      </c>
      <c r="I199" s="4">
        <f>SUM('Working Data'!U199,'Working Data'!W199)</f>
        <v>280.39999999999998</v>
      </c>
      <c r="J199" s="4">
        <f>SUM('Working Data'!R199,'Working Data'!S199,'Working Data'!T199)</f>
        <v>429.7</v>
      </c>
      <c r="K199" s="4">
        <f>SUM('Working Data'!AC199,'Working Data'!Z199,'Working Data'!Q199)</f>
        <v>423.5</v>
      </c>
      <c r="L199" s="4">
        <v>138.5</v>
      </c>
    </row>
    <row r="200" spans="1:12" hidden="1" x14ac:dyDescent="0.3">
      <c r="A200" s="1" t="s">
        <v>30</v>
      </c>
      <c r="B200" s="1">
        <v>2018</v>
      </c>
      <c r="C200" s="1" t="s">
        <v>40</v>
      </c>
      <c r="D200">
        <f>SUM(Table13[[#This Row],[Cereals and products]:[Food and beverages]])</f>
        <v>1810.5000000000002</v>
      </c>
      <c r="E200" s="12">
        <v>146.80000000000001</v>
      </c>
      <c r="F200" s="12">
        <v>127.5</v>
      </c>
      <c r="G200" s="12">
        <v>145.80000000000001</v>
      </c>
      <c r="H200" s="4">
        <f>SUM('Working Data'!X200,'Working Data'!AB200)</f>
        <v>270.39999999999998</v>
      </c>
      <c r="I200" s="4">
        <f>SUM('Working Data'!U200,'Working Data'!W200)</f>
        <v>286.7</v>
      </c>
      <c r="J200" s="4">
        <f>SUM('Working Data'!R200,'Working Data'!S200,'Working Data'!T200)</f>
        <v>447.20000000000005</v>
      </c>
      <c r="K200" s="4">
        <f>SUM('Working Data'!AC200,'Working Data'!Z200,'Working Data'!Q200)</f>
        <v>430.5</v>
      </c>
      <c r="L200" s="4">
        <v>141.80000000000001</v>
      </c>
    </row>
    <row r="201" spans="1:12" hidden="1" x14ac:dyDescent="0.3">
      <c r="A201" s="2" t="s">
        <v>33</v>
      </c>
      <c r="B201" s="2">
        <v>2018</v>
      </c>
      <c r="C201" s="2" t="s">
        <v>40</v>
      </c>
      <c r="D201">
        <f>SUM(Table13[[#This Row],[Cereals and products]:[Food and beverages]])</f>
        <v>1771.1</v>
      </c>
      <c r="E201" s="13">
        <v>128.1</v>
      </c>
      <c r="F201" s="13">
        <v>120.1</v>
      </c>
      <c r="G201" s="13">
        <v>144</v>
      </c>
      <c r="H201" s="4">
        <f>SUM('Working Data'!X201,'Working Data'!AB201)</f>
        <v>261.79999999999995</v>
      </c>
      <c r="I201" s="4">
        <f>SUM('Working Data'!U201,'Working Data'!W201)</f>
        <v>277.2</v>
      </c>
      <c r="J201" s="4">
        <f>SUM('Working Data'!R201,'Working Data'!S201,'Working Data'!T201)</f>
        <v>406.4</v>
      </c>
      <c r="K201" s="4">
        <f>SUM('Working Data'!AC201,'Working Data'!Z201,'Working Data'!Q201)</f>
        <v>420.6</v>
      </c>
      <c r="L201" s="4">
        <v>137.5</v>
      </c>
    </row>
    <row r="202" spans="1:12" hidden="1" x14ac:dyDescent="0.3">
      <c r="A202" s="1" t="s">
        <v>34</v>
      </c>
      <c r="B202" s="1">
        <v>2018</v>
      </c>
      <c r="C202" s="1" t="s">
        <v>40</v>
      </c>
      <c r="D202">
        <f>SUM(Table13[[#This Row],[Cereals and products]:[Food and beverages]])</f>
        <v>1795.3</v>
      </c>
      <c r="E202" s="12">
        <v>139.69999999999999</v>
      </c>
      <c r="F202" s="12">
        <v>123.6</v>
      </c>
      <c r="G202" s="12">
        <v>144.69999999999999</v>
      </c>
      <c r="H202" s="4">
        <f>SUM('Working Data'!X202,'Working Data'!AB202)</f>
        <v>267.10000000000002</v>
      </c>
      <c r="I202" s="4">
        <f>SUM('Working Data'!U202,'Working Data'!W202)</f>
        <v>282.2</v>
      </c>
      <c r="J202" s="4">
        <f>SUM('Working Data'!R202,'Working Data'!S202,'Working Data'!T202)</f>
        <v>430.80000000000007</v>
      </c>
      <c r="K202" s="4">
        <f>SUM('Working Data'!AC202,'Working Data'!Z202,'Working Data'!Q202)</f>
        <v>423.79999999999995</v>
      </c>
      <c r="L202" s="4">
        <v>139.80000000000001</v>
      </c>
    </row>
    <row r="203" spans="1:12" hidden="1" x14ac:dyDescent="0.3">
      <c r="A203" s="2" t="s">
        <v>30</v>
      </c>
      <c r="B203" s="2">
        <v>2018</v>
      </c>
      <c r="C203" s="2" t="s">
        <v>41</v>
      </c>
      <c r="D203">
        <f>SUM(Table13[[#This Row],[Cereals and products]:[Food and beverages]])</f>
        <v>1818.8</v>
      </c>
      <c r="E203" s="13">
        <v>147.69999999999999</v>
      </c>
      <c r="F203" s="13">
        <v>128.30000000000001</v>
      </c>
      <c r="G203" s="13">
        <v>146.9</v>
      </c>
      <c r="H203" s="4">
        <f>SUM('Working Data'!X203,'Working Data'!AB203)</f>
        <v>270.70000000000005</v>
      </c>
      <c r="I203" s="4">
        <f>SUM('Working Data'!U203,'Working Data'!W203)</f>
        <v>288.39999999999998</v>
      </c>
      <c r="J203" s="4">
        <f>SUM('Working Data'!R203,'Working Data'!S203,'Working Data'!T203)</f>
        <v>449.2</v>
      </c>
      <c r="K203" s="4">
        <f>SUM('Working Data'!AC203,'Working Data'!Z203,'Working Data'!Q203)</f>
        <v>431.6</v>
      </c>
      <c r="L203" s="4">
        <v>142.5</v>
      </c>
    </row>
    <row r="204" spans="1:12" hidden="1" x14ac:dyDescent="0.3">
      <c r="A204" s="1" t="s">
        <v>33</v>
      </c>
      <c r="B204" s="1">
        <v>2018</v>
      </c>
      <c r="C204" s="1" t="s">
        <v>41</v>
      </c>
      <c r="D204">
        <f>SUM(Table13[[#This Row],[Cereals and products]:[Food and beverages]])</f>
        <v>1767.6</v>
      </c>
      <c r="E204" s="12">
        <v>129.80000000000001</v>
      </c>
      <c r="F204" s="12">
        <v>120.7</v>
      </c>
      <c r="G204" s="12">
        <v>145.30000000000001</v>
      </c>
      <c r="H204" s="4">
        <f>SUM('Working Data'!X204,'Working Data'!AB204)</f>
        <v>263.20000000000005</v>
      </c>
      <c r="I204" s="4">
        <f>SUM('Working Data'!U204,'Working Data'!W204)</f>
        <v>279</v>
      </c>
      <c r="J204" s="4">
        <f>SUM('Working Data'!R204,'Working Data'!S204,'Working Data'!T204)</f>
        <v>407.3</v>
      </c>
      <c r="K204" s="4">
        <f>SUM('Working Data'!AC204,'Working Data'!Z204,'Working Data'!Q204)</f>
        <v>422.9</v>
      </c>
      <c r="L204" s="4">
        <v>138</v>
      </c>
    </row>
    <row r="205" spans="1:12" hidden="1" x14ac:dyDescent="0.3">
      <c r="A205" s="2" t="s">
        <v>34</v>
      </c>
      <c r="B205" s="2">
        <v>2018</v>
      </c>
      <c r="C205" s="2" t="s">
        <v>41</v>
      </c>
      <c r="D205">
        <f>SUM(Table13[[#This Row],[Cereals and products]:[Food and beverages]])</f>
        <v>1798.7000000000003</v>
      </c>
      <c r="E205" s="13">
        <v>140.9</v>
      </c>
      <c r="F205" s="13">
        <v>124.3</v>
      </c>
      <c r="G205" s="13">
        <v>146</v>
      </c>
      <c r="H205" s="4">
        <f>SUM('Working Data'!X205,'Working Data'!AB205)</f>
        <v>267.79999999999995</v>
      </c>
      <c r="I205" s="4">
        <f>SUM('Working Data'!U205,'Working Data'!W205)</f>
        <v>284</v>
      </c>
      <c r="J205" s="4">
        <f>SUM('Working Data'!R205,'Working Data'!S205,'Working Data'!T205)</f>
        <v>432.20000000000005</v>
      </c>
      <c r="K205" s="4">
        <f>SUM('Working Data'!AC205,'Working Data'!Z205,'Working Data'!Q205)</f>
        <v>425.4</v>
      </c>
      <c r="L205" s="4">
        <v>140.4</v>
      </c>
    </row>
    <row r="206" spans="1:12" hidden="1" x14ac:dyDescent="0.3">
      <c r="A206" s="1" t="s">
        <v>30</v>
      </c>
      <c r="B206" s="1">
        <v>2018</v>
      </c>
      <c r="C206" s="1" t="s">
        <v>42</v>
      </c>
      <c r="D206">
        <f>SUM(Table13[[#This Row],[Cereals and products]:[Food and beverages]])</f>
        <v>1799.8000000000002</v>
      </c>
      <c r="E206" s="12">
        <v>149</v>
      </c>
      <c r="F206" s="12">
        <v>129.9</v>
      </c>
      <c r="G206" s="12">
        <v>147.6</v>
      </c>
      <c r="H206" s="4">
        <f>SUM('Working Data'!X206,'Working Data'!AB206)</f>
        <v>272</v>
      </c>
      <c r="I206" s="4">
        <f>SUM('Working Data'!U206,'Working Data'!W206)</f>
        <v>289.3</v>
      </c>
      <c r="J206" s="4">
        <f>SUM('Working Data'!R206,'Working Data'!S206,'Working Data'!T206)</f>
        <v>449.5</v>
      </c>
      <c r="K206" s="4">
        <f>SUM('Working Data'!AC206,'Working Data'!Z206,'Working Data'!Q206)</f>
        <v>435.09999999999997</v>
      </c>
      <c r="L206" s="4">
        <v>142.1</v>
      </c>
    </row>
    <row r="207" spans="1:12" hidden="1" x14ac:dyDescent="0.3">
      <c r="A207" s="2" t="s">
        <v>33</v>
      </c>
      <c r="B207" s="2">
        <v>2018</v>
      </c>
      <c r="C207" s="2" t="s">
        <v>42</v>
      </c>
      <c r="D207">
        <f>SUM(Table13[[#This Row],[Cereals and products]:[Food and beverages]])</f>
        <v>1748.4</v>
      </c>
      <c r="E207" s="13">
        <v>131.19999999999999</v>
      </c>
      <c r="F207" s="13">
        <v>122.5</v>
      </c>
      <c r="G207" s="13">
        <v>145.19999999999999</v>
      </c>
      <c r="H207" s="4">
        <f>SUM('Working Data'!X207,'Working Data'!AB207)</f>
        <v>265</v>
      </c>
      <c r="I207" s="4">
        <f>SUM('Working Data'!U207,'Working Data'!W207)</f>
        <v>280.20000000000005</v>
      </c>
      <c r="J207" s="4">
        <f>SUM('Working Data'!R207,'Working Data'!S207,'Working Data'!T207)</f>
        <v>409.20000000000005</v>
      </c>
      <c r="K207" s="4">
        <f>SUM('Working Data'!AC207,'Working Data'!Z207,'Working Data'!Q207)</f>
        <v>425.40000000000003</v>
      </c>
      <c r="L207" s="4">
        <v>138.1</v>
      </c>
    </row>
    <row r="208" spans="1:12" hidden="1" x14ac:dyDescent="0.3">
      <c r="A208" s="1" t="s">
        <v>34</v>
      </c>
      <c r="B208" s="1">
        <v>2018</v>
      </c>
      <c r="C208" s="1" t="s">
        <v>42</v>
      </c>
      <c r="D208">
        <f>SUM(Table13[[#This Row],[Cereals and products]:[Food and beverages]])</f>
        <v>1779.5</v>
      </c>
      <c r="E208" s="12">
        <v>142.30000000000001</v>
      </c>
      <c r="F208" s="12">
        <v>126</v>
      </c>
      <c r="G208" s="12">
        <v>146.19999999999999</v>
      </c>
      <c r="H208" s="4">
        <f>SUM('Working Data'!X208,'Working Data'!AB208)</f>
        <v>269.3</v>
      </c>
      <c r="I208" s="4">
        <f>SUM('Working Data'!U208,'Working Data'!W208)</f>
        <v>285</v>
      </c>
      <c r="J208" s="4">
        <f>SUM('Working Data'!R208,'Working Data'!S208,'Working Data'!T208)</f>
        <v>433.29999999999995</v>
      </c>
      <c r="K208" s="4">
        <f>SUM('Working Data'!AC208,'Working Data'!Z208,'Working Data'!Q208)</f>
        <v>428.4</v>
      </c>
      <c r="L208" s="4">
        <v>140.19999999999999</v>
      </c>
    </row>
    <row r="209" spans="1:12" hidden="1" x14ac:dyDescent="0.3">
      <c r="A209" s="2" t="s">
        <v>30</v>
      </c>
      <c r="B209" s="2">
        <v>2018</v>
      </c>
      <c r="C209" s="2" t="s">
        <v>43</v>
      </c>
      <c r="D209">
        <f>SUM(Table13[[#This Row],[Cereals and products]:[Food and beverages]])</f>
        <v>1782.2</v>
      </c>
      <c r="E209" s="13">
        <v>149.69999999999999</v>
      </c>
      <c r="F209" s="13">
        <v>130.80000000000001</v>
      </c>
      <c r="G209" s="13">
        <v>148</v>
      </c>
      <c r="H209" s="4">
        <f>SUM('Working Data'!X209,'Working Data'!AB209)</f>
        <v>279.20000000000005</v>
      </c>
      <c r="I209" s="4">
        <f>SUM('Working Data'!U209,'Working Data'!W209)</f>
        <v>293.8</v>
      </c>
      <c r="J209" s="4">
        <f>SUM('Working Data'!R209,'Working Data'!S209,'Working Data'!T209)</f>
        <v>445</v>
      </c>
      <c r="K209" s="4">
        <f>SUM('Working Data'!AC209,'Working Data'!Z209,'Working Data'!Q209)</f>
        <v>439.5</v>
      </c>
      <c r="L209" s="4">
        <v>142.19999999999999</v>
      </c>
    </row>
    <row r="210" spans="1:12" hidden="1" x14ac:dyDescent="0.3">
      <c r="A210" s="1" t="s">
        <v>33</v>
      </c>
      <c r="B210" s="1">
        <v>2018</v>
      </c>
      <c r="C210" s="1" t="s">
        <v>43</v>
      </c>
      <c r="D210">
        <f>SUM(Table13[[#This Row],[Cereals and products]:[Food and beverages]])</f>
        <v>1754.1</v>
      </c>
      <c r="E210" s="12">
        <v>133.4</v>
      </c>
      <c r="F210" s="12">
        <v>123.3</v>
      </c>
      <c r="G210" s="12">
        <v>145.5</v>
      </c>
      <c r="H210" s="4">
        <f>SUM('Working Data'!X210,'Working Data'!AB210)</f>
        <v>266.60000000000002</v>
      </c>
      <c r="I210" s="4">
        <f>SUM('Working Data'!U210,'Working Data'!W210)</f>
        <v>281.70000000000005</v>
      </c>
      <c r="J210" s="4">
        <f>SUM('Working Data'!R210,'Working Data'!S210,'Working Data'!T210)</f>
        <v>411</v>
      </c>
      <c r="K210" s="4">
        <f>SUM('Working Data'!AC210,'Working Data'!Z210,'Working Data'!Q210)</f>
        <v>427.2</v>
      </c>
      <c r="L210" s="4">
        <v>138.9</v>
      </c>
    </row>
    <row r="211" spans="1:12" hidden="1" x14ac:dyDescent="0.3">
      <c r="A211" s="2" t="s">
        <v>34</v>
      </c>
      <c r="B211" s="2">
        <v>2018</v>
      </c>
      <c r="C211" s="2" t="s">
        <v>43</v>
      </c>
      <c r="D211">
        <f>SUM(Table13[[#This Row],[Cereals and products]:[Food and beverages]])</f>
        <v>1776.2</v>
      </c>
      <c r="E211" s="13">
        <v>145.30000000000001</v>
      </c>
      <c r="F211" s="13">
        <v>125.5</v>
      </c>
      <c r="G211" s="13">
        <v>147.80000000000001</v>
      </c>
      <c r="H211" s="4">
        <f>SUM('Working Data'!X211,'Working Data'!AB211)</f>
        <v>274.10000000000002</v>
      </c>
      <c r="I211" s="4">
        <f>SUM('Working Data'!U211,'Working Data'!W211)</f>
        <v>289.10000000000002</v>
      </c>
      <c r="J211" s="4">
        <f>SUM('Working Data'!R211,'Working Data'!S211,'Working Data'!T211)</f>
        <v>434</v>
      </c>
      <c r="K211" s="4">
        <f>SUM('Working Data'!AC211,'Working Data'!Z211,'Working Data'!Q211)</f>
        <v>435.4</v>
      </c>
      <c r="L211" s="4">
        <v>140.80000000000001</v>
      </c>
    </row>
    <row r="212" spans="1:12" hidden="1" x14ac:dyDescent="0.3">
      <c r="A212" s="1" t="s">
        <v>30</v>
      </c>
      <c r="B212" s="1">
        <v>2018</v>
      </c>
      <c r="C212" s="1" t="s">
        <v>45</v>
      </c>
      <c r="D212">
        <f>SUM(Table13[[#This Row],[Cereals and products]:[Food and beverages]])</f>
        <v>1787.4999999999995</v>
      </c>
      <c r="E212" s="12">
        <v>150.30000000000001</v>
      </c>
      <c r="F212" s="12">
        <v>130.30000000000001</v>
      </c>
      <c r="G212" s="12">
        <v>150.19999999999999</v>
      </c>
      <c r="H212" s="4">
        <f>SUM('Working Data'!X212,'Working Data'!AB212)</f>
        <v>278.5</v>
      </c>
      <c r="I212" s="4">
        <f>SUM('Working Data'!U212,'Working Data'!W212)</f>
        <v>294.89999999999998</v>
      </c>
      <c r="J212" s="4">
        <f>SUM('Working Data'!R212,'Working Data'!S212,'Working Data'!T212)</f>
        <v>448</v>
      </c>
      <c r="K212" s="4">
        <f>SUM('Working Data'!AC212,'Working Data'!Z212,'Working Data'!Q212)</f>
        <v>445.1</v>
      </c>
      <c r="L212" s="4">
        <v>142.4</v>
      </c>
    </row>
    <row r="213" spans="1:12" hidden="1" x14ac:dyDescent="0.3">
      <c r="A213" s="2" t="s">
        <v>33</v>
      </c>
      <c r="B213" s="2">
        <v>2018</v>
      </c>
      <c r="C213" s="2" t="s">
        <v>45</v>
      </c>
      <c r="D213">
        <f>SUM(Table13[[#This Row],[Cereals and products]:[Food and beverages]])</f>
        <v>1757.4999999999998</v>
      </c>
      <c r="E213" s="13">
        <v>136.69999999999999</v>
      </c>
      <c r="F213" s="13">
        <v>121.2</v>
      </c>
      <c r="G213" s="13">
        <v>146.1</v>
      </c>
      <c r="H213" s="4">
        <f>SUM('Working Data'!X213,'Working Data'!AB213)</f>
        <v>267.3</v>
      </c>
      <c r="I213" s="4">
        <f>SUM('Working Data'!U213,'Working Data'!W213)</f>
        <v>282.70000000000005</v>
      </c>
      <c r="J213" s="4">
        <f>SUM('Working Data'!R213,'Working Data'!S213,'Working Data'!T213)</f>
        <v>413.1</v>
      </c>
      <c r="K213" s="4">
        <f>SUM('Working Data'!AC213,'Working Data'!Z213,'Working Data'!Q213)</f>
        <v>427.9</v>
      </c>
      <c r="L213" s="4">
        <v>139</v>
      </c>
    </row>
    <row r="214" spans="1:12" hidden="1" x14ac:dyDescent="0.3">
      <c r="A214" s="1" t="s">
        <v>34</v>
      </c>
      <c r="B214" s="1">
        <v>2018</v>
      </c>
      <c r="C214" s="1" t="s">
        <v>45</v>
      </c>
      <c r="D214">
        <f>SUM(Table13[[#This Row],[Cereals and products]:[Food and beverages]])</f>
        <v>1775.7000000000003</v>
      </c>
      <c r="E214" s="12">
        <v>145.1</v>
      </c>
      <c r="F214" s="12">
        <v>125.5</v>
      </c>
      <c r="G214" s="12">
        <v>147.80000000000001</v>
      </c>
      <c r="H214" s="4">
        <f>SUM('Working Data'!X214,'Working Data'!AB214)</f>
        <v>274.10000000000002</v>
      </c>
      <c r="I214" s="4">
        <f>SUM('Working Data'!U214,'Working Data'!W214)</f>
        <v>289.10000000000002</v>
      </c>
      <c r="J214" s="4">
        <f>SUM('Working Data'!R214,'Working Data'!S214,'Working Data'!T214)</f>
        <v>433.8</v>
      </c>
      <c r="K214" s="4">
        <f>SUM('Working Data'!AC214,'Working Data'!Z214,'Working Data'!Q214)</f>
        <v>435.4</v>
      </c>
      <c r="L214" s="4">
        <v>140.80000000000001</v>
      </c>
    </row>
    <row r="215" spans="1:12" hidden="1" x14ac:dyDescent="0.3">
      <c r="A215" s="2" t="s">
        <v>30</v>
      </c>
      <c r="B215" s="2">
        <v>2018</v>
      </c>
      <c r="C215" s="2" t="s">
        <v>46</v>
      </c>
      <c r="D215">
        <f>SUM(Table13[[#This Row],[Cereals and products]:[Food and beverages]])</f>
        <v>1773.1000000000001</v>
      </c>
      <c r="E215" s="13">
        <v>149</v>
      </c>
      <c r="F215" s="13">
        <v>128.9</v>
      </c>
      <c r="G215" s="13">
        <v>155.1</v>
      </c>
      <c r="H215" s="4">
        <f>SUM('Working Data'!X215,'Working Data'!AB215)</f>
        <v>282.79999999999995</v>
      </c>
      <c r="I215" s="4">
        <f>SUM('Working Data'!U215,'Working Data'!W215)</f>
        <v>296</v>
      </c>
      <c r="J215" s="4">
        <f>SUM('Working Data'!R215,'Working Data'!S215,'Working Data'!T215)</f>
        <v>448.3</v>
      </c>
      <c r="K215" s="4">
        <f>SUM('Working Data'!AC215,'Working Data'!Z215,'Working Data'!Q215)</f>
        <v>447.29999999999995</v>
      </c>
      <c r="L215" s="4">
        <v>141.9</v>
      </c>
    </row>
    <row r="216" spans="1:12" hidden="1" x14ac:dyDescent="0.3">
      <c r="A216" s="1" t="s">
        <v>33</v>
      </c>
      <c r="B216" s="1">
        <v>2018</v>
      </c>
      <c r="C216" s="1" t="s">
        <v>46</v>
      </c>
      <c r="D216">
        <f>SUM(Table13[[#This Row],[Cereals and products]:[Food and beverages]])</f>
        <v>1746.6</v>
      </c>
      <c r="E216" s="12">
        <v>132.4</v>
      </c>
      <c r="F216" s="12">
        <v>118.8</v>
      </c>
      <c r="G216" s="12">
        <v>146.5</v>
      </c>
      <c r="H216" s="4">
        <f>SUM('Working Data'!X216,'Working Data'!AB216)</f>
        <v>268.10000000000002</v>
      </c>
      <c r="I216" s="4">
        <f>SUM('Working Data'!U216,'Working Data'!W216)</f>
        <v>282.7</v>
      </c>
      <c r="J216" s="4">
        <f>SUM('Working Data'!R216,'Working Data'!S216,'Working Data'!T216)</f>
        <v>413.8</v>
      </c>
      <c r="K216" s="4">
        <f>SUM('Working Data'!AC216,'Working Data'!Z216,'Working Data'!Q216)</f>
        <v>428</v>
      </c>
      <c r="L216" s="4">
        <v>138</v>
      </c>
    </row>
    <row r="217" spans="1:12" hidden="1" x14ac:dyDescent="0.3">
      <c r="A217" s="2" t="s">
        <v>34</v>
      </c>
      <c r="B217" s="2">
        <v>2018</v>
      </c>
      <c r="C217" s="2" t="s">
        <v>46</v>
      </c>
      <c r="D217">
        <f>SUM(Table13[[#This Row],[Cereals and products]:[Food and beverages]])</f>
        <v>1762.7999999999997</v>
      </c>
      <c r="E217" s="13">
        <v>142.69999999999999</v>
      </c>
      <c r="F217" s="13">
        <v>123.6</v>
      </c>
      <c r="G217" s="13">
        <v>150.1</v>
      </c>
      <c r="H217" s="4">
        <f>SUM('Working Data'!X217,'Working Data'!AB217)</f>
        <v>277.10000000000002</v>
      </c>
      <c r="I217" s="4">
        <f>SUM('Working Data'!U217,'Working Data'!W217)</f>
        <v>289.7</v>
      </c>
      <c r="J217" s="4">
        <f>SUM('Working Data'!R217,'Working Data'!S217,'Working Data'!T217)</f>
        <v>434.3</v>
      </c>
      <c r="K217" s="4">
        <f>SUM('Working Data'!AC217,'Working Data'!Z217,'Working Data'!Q217)</f>
        <v>436.6</v>
      </c>
      <c r="L217" s="4">
        <v>140.1</v>
      </c>
    </row>
    <row r="218" spans="1:12" hidden="1" x14ac:dyDescent="0.3">
      <c r="A218" s="1" t="s">
        <v>30</v>
      </c>
      <c r="B218" s="1">
        <v>2019</v>
      </c>
      <c r="C218" s="1" t="s">
        <v>31</v>
      </c>
      <c r="D218">
        <f>SUM(Table13[[#This Row],[Cereals and products]:[Food and beverages]])</f>
        <v>1759.6000000000001</v>
      </c>
      <c r="E218" s="12">
        <v>146.19999999999999</v>
      </c>
      <c r="F218" s="12">
        <v>128.6</v>
      </c>
      <c r="G218" s="12">
        <v>155.19999999999999</v>
      </c>
      <c r="H218" s="4">
        <f>SUM('Working Data'!X218,'Working Data'!AB218)</f>
        <v>283.10000000000002</v>
      </c>
      <c r="I218" s="4">
        <f>SUM('Working Data'!U218,'Working Data'!W218)</f>
        <v>297.79999999999995</v>
      </c>
      <c r="J218" s="4">
        <f>SUM('Working Data'!R218,'Working Data'!S218,'Working Data'!T218)</f>
        <v>445.6</v>
      </c>
      <c r="K218" s="4">
        <f>SUM('Working Data'!AC218,'Working Data'!Z218,'Working Data'!Q218)</f>
        <v>447.3</v>
      </c>
      <c r="L218" s="4">
        <v>141</v>
      </c>
    </row>
    <row r="219" spans="1:12" hidden="1" x14ac:dyDescent="0.3">
      <c r="A219" s="2" t="s">
        <v>33</v>
      </c>
      <c r="B219" s="2">
        <v>2019</v>
      </c>
      <c r="C219" s="2" t="s">
        <v>31</v>
      </c>
      <c r="D219">
        <f>SUM(Table13[[#This Row],[Cereals and products]:[Food and beverages]])</f>
        <v>1744.3000000000002</v>
      </c>
      <c r="E219" s="13">
        <v>128.6</v>
      </c>
      <c r="F219" s="13">
        <v>118.6</v>
      </c>
      <c r="G219" s="13">
        <v>146.6</v>
      </c>
      <c r="H219" s="4">
        <f>SUM('Working Data'!X219,'Working Data'!AB219)</f>
        <v>269.5</v>
      </c>
      <c r="I219" s="4">
        <f>SUM('Working Data'!U219,'Working Data'!W219)</f>
        <v>284</v>
      </c>
      <c r="J219" s="4">
        <f>SUM('Working Data'!R219,'Working Data'!S219,'Working Data'!T219)</f>
        <v>414.5</v>
      </c>
      <c r="K219" s="4">
        <f>SUM('Working Data'!AC219,'Working Data'!Z219,'Working Data'!Q219)</f>
        <v>428.40000000000003</v>
      </c>
      <c r="L219" s="4">
        <v>138</v>
      </c>
    </row>
    <row r="220" spans="1:12" x14ac:dyDescent="0.3">
      <c r="A220" s="1" t="s">
        <v>34</v>
      </c>
      <c r="B220" s="1">
        <v>2019</v>
      </c>
      <c r="C220" s="1" t="s">
        <v>31</v>
      </c>
      <c r="D220">
        <f>SUM(Table13[[#This Row],[Cereals and products]:[Food and beverages]])</f>
        <v>1753.3999999999999</v>
      </c>
      <c r="E220" s="12">
        <v>139.5</v>
      </c>
      <c r="F220" s="12">
        <v>123.3</v>
      </c>
      <c r="G220" s="12">
        <v>150.19999999999999</v>
      </c>
      <c r="H220" s="4">
        <f>SUM('Working Data'!X220,'Working Data'!AB220)</f>
        <v>277.89999999999998</v>
      </c>
      <c r="I220" s="4">
        <f>SUM('Working Data'!U220,'Working Data'!W220)</f>
        <v>291.29999999999995</v>
      </c>
      <c r="J220" s="4">
        <f>SUM('Working Data'!R220,'Working Data'!S220,'Working Data'!T220)</f>
        <v>433</v>
      </c>
      <c r="K220" s="4">
        <f>SUM('Working Data'!AC220,'Working Data'!Z220,'Working Data'!Q220)</f>
        <v>436.8</v>
      </c>
      <c r="L220" s="4">
        <v>139.6</v>
      </c>
    </row>
    <row r="221" spans="1:12" hidden="1" x14ac:dyDescent="0.3">
      <c r="A221" s="2" t="s">
        <v>30</v>
      </c>
      <c r="B221" s="2">
        <v>2019</v>
      </c>
      <c r="C221" s="2" t="s">
        <v>35</v>
      </c>
      <c r="D221">
        <f>SUM(Table13[[#This Row],[Cereals and products]:[Food and beverages]])</f>
        <v>1759.8000000000002</v>
      </c>
      <c r="E221" s="13">
        <v>145.30000000000001</v>
      </c>
      <c r="F221" s="13">
        <v>129.19999999999999</v>
      </c>
      <c r="G221" s="13">
        <v>155.5</v>
      </c>
      <c r="H221" s="4">
        <f>SUM('Working Data'!X221,'Working Data'!AB221)</f>
        <v>284.8</v>
      </c>
      <c r="I221" s="4">
        <f>SUM('Working Data'!U221,'Working Data'!W221)</f>
        <v>298.60000000000002</v>
      </c>
      <c r="J221" s="4">
        <f>SUM('Working Data'!R221,'Working Data'!S221,'Working Data'!T221)</f>
        <v>446.5</v>
      </c>
      <c r="K221" s="4">
        <f>SUM('Working Data'!AC221,'Working Data'!Z221,'Working Data'!Q221)</f>
        <v>448.40000000000003</v>
      </c>
      <c r="L221" s="4">
        <v>141</v>
      </c>
    </row>
    <row r="222" spans="1:12" hidden="1" x14ac:dyDescent="0.3">
      <c r="A222" s="1" t="s">
        <v>33</v>
      </c>
      <c r="B222" s="1">
        <v>2019</v>
      </c>
      <c r="C222" s="1" t="s">
        <v>35</v>
      </c>
      <c r="D222">
        <f>SUM(Table13[[#This Row],[Cereals and products]:[Food and beverages]])</f>
        <v>1754.4</v>
      </c>
      <c r="E222" s="12">
        <v>127.1</v>
      </c>
      <c r="F222" s="12">
        <v>119.2</v>
      </c>
      <c r="G222" s="12">
        <v>146.6</v>
      </c>
      <c r="H222" s="4">
        <f>SUM('Working Data'!X222,'Working Data'!AB222)</f>
        <v>271.5</v>
      </c>
      <c r="I222" s="4">
        <f>SUM('Working Data'!U222,'Working Data'!W222)</f>
        <v>285.10000000000002</v>
      </c>
      <c r="J222" s="4">
        <f>SUM('Working Data'!R222,'Working Data'!S222,'Working Data'!T222)</f>
        <v>415.5</v>
      </c>
      <c r="K222" s="4">
        <f>SUM('Working Data'!AC222,'Working Data'!Z222,'Working Data'!Q222)</f>
        <v>429.5</v>
      </c>
      <c r="L222" s="4">
        <v>138.6</v>
      </c>
    </row>
    <row r="223" spans="1:12" x14ac:dyDescent="0.3">
      <c r="A223" s="2" t="s">
        <v>34</v>
      </c>
      <c r="B223" s="2">
        <v>2019</v>
      </c>
      <c r="C223" s="2" t="s">
        <v>35</v>
      </c>
      <c r="D223">
        <f>SUM(Table13[[#This Row],[Cereals and products]:[Food and beverages]])</f>
        <v>1757.1</v>
      </c>
      <c r="E223" s="13">
        <v>138.4</v>
      </c>
      <c r="F223" s="13">
        <v>123.9</v>
      </c>
      <c r="G223" s="13">
        <v>150.30000000000001</v>
      </c>
      <c r="H223" s="4">
        <f>SUM('Working Data'!X223,'Working Data'!AB223)</f>
        <v>279.7</v>
      </c>
      <c r="I223" s="4">
        <f>SUM('Working Data'!U223,'Working Data'!W223)</f>
        <v>292.2</v>
      </c>
      <c r="J223" s="4">
        <f>SUM('Working Data'!R223,'Working Data'!S223,'Working Data'!T223)</f>
        <v>433.9</v>
      </c>
      <c r="K223" s="4">
        <f>SUM('Working Data'!AC223,'Working Data'!Z223,'Working Data'!Q223)</f>
        <v>437.9</v>
      </c>
      <c r="L223" s="4">
        <v>139.9</v>
      </c>
    </row>
    <row r="224" spans="1:12" hidden="1" x14ac:dyDescent="0.3">
      <c r="A224" s="1" t="s">
        <v>30</v>
      </c>
      <c r="B224" s="1">
        <v>2019</v>
      </c>
      <c r="C224" s="1" t="s">
        <v>36</v>
      </c>
      <c r="D224">
        <f>SUM(Table13[[#This Row],[Cereals and products]:[Food and beverages]])</f>
        <v>1761.2000000000003</v>
      </c>
      <c r="E224" s="12">
        <v>146.4</v>
      </c>
      <c r="F224" s="12">
        <v>129.9</v>
      </c>
      <c r="G224" s="12">
        <v>155.5</v>
      </c>
      <c r="H224" s="4">
        <f>SUM('Working Data'!X224,'Working Data'!AB224)</f>
        <v>284.39999999999998</v>
      </c>
      <c r="I224" s="4">
        <f>SUM('Working Data'!U224,'Working Data'!W224)</f>
        <v>299</v>
      </c>
      <c r="J224" s="4">
        <f>SUM('Working Data'!R224,'Working Data'!S224,'Working Data'!T224)</f>
        <v>447</v>
      </c>
      <c r="K224" s="4">
        <f>SUM('Working Data'!AC224,'Working Data'!Z224,'Working Data'!Q224)</f>
        <v>449.1</v>
      </c>
      <c r="L224" s="4">
        <v>141.19999999999999</v>
      </c>
    </row>
    <row r="225" spans="1:12" hidden="1" x14ac:dyDescent="0.3">
      <c r="A225" s="2" t="s">
        <v>33</v>
      </c>
      <c r="B225" s="2">
        <v>2019</v>
      </c>
      <c r="C225" s="2" t="s">
        <v>36</v>
      </c>
      <c r="D225">
        <f>SUM(Table13[[#This Row],[Cereals and products]:[Food and beverages]])</f>
        <v>1768.4</v>
      </c>
      <c r="E225" s="13">
        <v>128.80000000000001</v>
      </c>
      <c r="F225" s="13">
        <v>119.9</v>
      </c>
      <c r="G225" s="13">
        <v>146.69999999999999</v>
      </c>
      <c r="H225" s="4">
        <f>SUM('Working Data'!X225,'Working Data'!AB225)</f>
        <v>271.7</v>
      </c>
      <c r="I225" s="4">
        <f>SUM('Working Data'!U225,'Working Data'!W225)</f>
        <v>285.8</v>
      </c>
      <c r="J225" s="4">
        <f>SUM('Working Data'!R225,'Working Data'!S225,'Working Data'!T225)</f>
        <v>416.29999999999995</v>
      </c>
      <c r="K225" s="4">
        <f>SUM('Working Data'!AC225,'Working Data'!Z225,'Working Data'!Q225)</f>
        <v>431.1</v>
      </c>
      <c r="L225" s="4">
        <v>139.5</v>
      </c>
    </row>
    <row r="226" spans="1:12" x14ac:dyDescent="0.3">
      <c r="A226" s="1" t="s">
        <v>34</v>
      </c>
      <c r="B226" s="1">
        <v>2019</v>
      </c>
      <c r="C226" s="1" t="s">
        <v>36</v>
      </c>
      <c r="D226">
        <f>SUM(Table13[[#This Row],[Cereals and products]:[Food and beverages]])</f>
        <v>1762.9</v>
      </c>
      <c r="E226" s="12">
        <v>139.69999999999999</v>
      </c>
      <c r="F226" s="12">
        <v>124.6</v>
      </c>
      <c r="G226" s="12">
        <v>150.30000000000001</v>
      </c>
      <c r="H226" s="4">
        <f>SUM('Working Data'!X226,'Working Data'!AB226)</f>
        <v>279.60000000000002</v>
      </c>
      <c r="I226" s="4">
        <f>SUM('Working Data'!U226,'Working Data'!W226)</f>
        <v>292.8</v>
      </c>
      <c r="J226" s="4">
        <f>SUM('Working Data'!R226,'Working Data'!S226,'Working Data'!T226)</f>
        <v>434.5</v>
      </c>
      <c r="K226" s="4">
        <f>SUM('Working Data'!AC226,'Working Data'!Z226,'Working Data'!Q226)</f>
        <v>438.9</v>
      </c>
      <c r="L226" s="4">
        <v>140.4</v>
      </c>
    </row>
    <row r="227" spans="1:12" hidden="1" x14ac:dyDescent="0.3">
      <c r="A227" s="2" t="s">
        <v>30</v>
      </c>
      <c r="B227" s="2">
        <v>2019</v>
      </c>
      <c r="C227" s="2" t="s">
        <v>38</v>
      </c>
      <c r="D227">
        <f>SUM(Table13[[#This Row],[Cereals and products]:[Food and beverages]])</f>
        <v>1782.1000000000001</v>
      </c>
      <c r="E227" s="13">
        <v>146.9</v>
      </c>
      <c r="F227" s="13">
        <v>130.19999999999999</v>
      </c>
      <c r="G227" s="13">
        <v>156.69999999999999</v>
      </c>
      <c r="H227" s="4">
        <f>SUM('Working Data'!X227,'Working Data'!AB227)</f>
        <v>285.20000000000005</v>
      </c>
      <c r="I227" s="4">
        <f>SUM('Working Data'!U227,'Working Data'!W227)</f>
        <v>299.60000000000002</v>
      </c>
      <c r="J227" s="4">
        <f>SUM('Working Data'!R227,'Working Data'!S227,'Working Data'!T227)</f>
        <v>448.59999999999997</v>
      </c>
      <c r="K227" s="4">
        <f>SUM('Working Data'!AC227,'Working Data'!Z227,'Working Data'!Q227)</f>
        <v>452.1</v>
      </c>
      <c r="L227" s="4">
        <v>142.4</v>
      </c>
    </row>
    <row r="228" spans="1:12" hidden="1" x14ac:dyDescent="0.3">
      <c r="A228" s="1" t="s">
        <v>33</v>
      </c>
      <c r="B228" s="1">
        <v>2019</v>
      </c>
      <c r="C228" s="1" t="s">
        <v>38</v>
      </c>
      <c r="D228">
        <f>SUM(Table13[[#This Row],[Cereals and products]:[Food and beverages]])</f>
        <v>1811.5000000000002</v>
      </c>
      <c r="E228" s="12">
        <v>129.4</v>
      </c>
      <c r="F228" s="12">
        <v>120.1</v>
      </c>
      <c r="G228" s="12">
        <v>148</v>
      </c>
      <c r="H228" s="4">
        <f>SUM('Working Data'!X228,'Working Data'!AB228)</f>
        <v>272.39999999999998</v>
      </c>
      <c r="I228" s="4">
        <f>SUM('Working Data'!U228,'Working Data'!W228)</f>
        <v>287.29999999999995</v>
      </c>
      <c r="J228" s="4">
        <f>SUM('Working Data'!R228,'Working Data'!S228,'Working Data'!T228)</f>
        <v>417.9</v>
      </c>
      <c r="K228" s="4">
        <f>SUM('Working Data'!AC228,'Working Data'!Z228,'Working Data'!Q228)</f>
        <v>433.5</v>
      </c>
      <c r="L228" s="4">
        <v>141.5</v>
      </c>
    </row>
    <row r="229" spans="1:12" x14ac:dyDescent="0.3">
      <c r="A229" s="2" t="s">
        <v>34</v>
      </c>
      <c r="B229" s="2">
        <v>2019</v>
      </c>
      <c r="C229" s="2" t="s">
        <v>38</v>
      </c>
      <c r="D229">
        <f>SUM(Table13[[#This Row],[Cereals and products]:[Food and beverages]])</f>
        <v>1791.9000000000003</v>
      </c>
      <c r="E229" s="13">
        <v>140.30000000000001</v>
      </c>
      <c r="F229" s="13">
        <v>124.9</v>
      </c>
      <c r="G229" s="13">
        <v>151.6</v>
      </c>
      <c r="H229" s="4">
        <f>SUM('Working Data'!X229,'Working Data'!AB229)</f>
        <v>280.3</v>
      </c>
      <c r="I229" s="4">
        <f>SUM('Working Data'!U229,'Working Data'!W229)</f>
        <v>293.79999999999995</v>
      </c>
      <c r="J229" s="4">
        <f>SUM('Working Data'!R229,'Working Data'!S229,'Working Data'!T229)</f>
        <v>436.1</v>
      </c>
      <c r="K229" s="4">
        <f>SUM('Working Data'!AC229,'Working Data'!Z229,'Working Data'!Q229)</f>
        <v>441.5</v>
      </c>
      <c r="L229" s="4">
        <v>142</v>
      </c>
    </row>
    <row r="230" spans="1:12" hidden="1" x14ac:dyDescent="0.3">
      <c r="A230" s="1" t="s">
        <v>30</v>
      </c>
      <c r="B230" s="1">
        <v>2019</v>
      </c>
      <c r="C230" s="1" t="s">
        <v>39</v>
      </c>
      <c r="D230">
        <f>SUM(Table13[[#This Row],[Cereals and products]:[Food and beverages]])</f>
        <v>1804.1999999999998</v>
      </c>
      <c r="E230" s="12">
        <v>147.80000000000001</v>
      </c>
      <c r="F230" s="12">
        <v>130.19999999999999</v>
      </c>
      <c r="G230" s="12">
        <v>157.69999999999999</v>
      </c>
      <c r="H230" s="4">
        <f>SUM('Working Data'!X230,'Working Data'!AB230)</f>
        <v>286.5</v>
      </c>
      <c r="I230" s="4">
        <f>SUM('Working Data'!U230,'Working Data'!W230)</f>
        <v>299</v>
      </c>
      <c r="J230" s="4">
        <f>SUM('Working Data'!R230,'Working Data'!S230,'Working Data'!T230)</f>
        <v>448.59999999999997</v>
      </c>
      <c r="K230" s="4">
        <f>SUM('Working Data'!AC230,'Working Data'!Z230,'Working Data'!Q230)</f>
        <v>453.90000000000003</v>
      </c>
      <c r="L230" s="4">
        <v>143.6</v>
      </c>
    </row>
    <row r="231" spans="1:12" hidden="1" x14ac:dyDescent="0.3">
      <c r="A231" s="2" t="s">
        <v>33</v>
      </c>
      <c r="B231" s="2">
        <v>2019</v>
      </c>
      <c r="C231" s="2" t="s">
        <v>39</v>
      </c>
      <c r="D231">
        <f>SUM(Table13[[#This Row],[Cereals and products]:[Food and beverages]])</f>
        <v>1833.2999999999997</v>
      </c>
      <c r="E231" s="13">
        <v>130.5</v>
      </c>
      <c r="F231" s="13">
        <v>119.6</v>
      </c>
      <c r="G231" s="13">
        <v>148.9</v>
      </c>
      <c r="H231" s="4">
        <f>SUM('Working Data'!X231,'Working Data'!AB231)</f>
        <v>274</v>
      </c>
      <c r="I231" s="4">
        <f>SUM('Working Data'!U231,'Working Data'!W231)</f>
        <v>286.8</v>
      </c>
      <c r="J231" s="4">
        <f>SUM('Working Data'!R231,'Working Data'!S231,'Working Data'!T231)</f>
        <v>418.4</v>
      </c>
      <c r="K231" s="4">
        <f>SUM('Working Data'!AC231,'Working Data'!Z231,'Working Data'!Q231)</f>
        <v>434.59999999999997</v>
      </c>
      <c r="L231" s="4">
        <v>142.1</v>
      </c>
    </row>
    <row r="232" spans="1:12" x14ac:dyDescent="0.3">
      <c r="A232" s="1" t="s">
        <v>34</v>
      </c>
      <c r="B232" s="1">
        <v>2019</v>
      </c>
      <c r="C232" s="1" t="s">
        <v>39</v>
      </c>
      <c r="D232">
        <f>SUM(Table13[[#This Row],[Cereals and products]:[Food and beverages]])</f>
        <v>1814.1000000000001</v>
      </c>
      <c r="E232" s="12">
        <v>141.19999999999999</v>
      </c>
      <c r="F232" s="12">
        <v>124.6</v>
      </c>
      <c r="G232" s="12">
        <v>152.5</v>
      </c>
      <c r="H232" s="4">
        <f>SUM('Working Data'!X232,'Working Data'!AB232)</f>
        <v>281.70000000000005</v>
      </c>
      <c r="I232" s="4">
        <f>SUM('Working Data'!U232,'Working Data'!W232)</f>
        <v>293.20000000000005</v>
      </c>
      <c r="J232" s="4">
        <f>SUM('Working Data'!R232,'Working Data'!S232,'Working Data'!T232)</f>
        <v>436.4</v>
      </c>
      <c r="K232" s="4">
        <f>SUM('Working Data'!AC232,'Working Data'!Z232,'Working Data'!Q232)</f>
        <v>443.1</v>
      </c>
      <c r="L232" s="4">
        <v>142.9</v>
      </c>
    </row>
    <row r="233" spans="1:12" hidden="1" x14ac:dyDescent="0.3">
      <c r="A233" s="2" t="s">
        <v>30</v>
      </c>
      <c r="B233" s="2">
        <v>2019</v>
      </c>
      <c r="C233" s="2" t="s">
        <v>40</v>
      </c>
      <c r="D233">
        <f>SUM(Table13[[#This Row],[Cereals and products]:[Food and beverages]])</f>
        <v>1826.8999999999999</v>
      </c>
      <c r="E233" s="13">
        <v>146.80000000000001</v>
      </c>
      <c r="F233" s="13">
        <v>131.19999999999999</v>
      </c>
      <c r="G233" s="13">
        <v>159.1</v>
      </c>
      <c r="H233" s="4">
        <f>SUM('Working Data'!X233,'Working Data'!AB233)</f>
        <v>288.29999999999995</v>
      </c>
      <c r="I233" s="4">
        <f>SUM('Working Data'!U233,'Working Data'!W233)</f>
        <v>300.60000000000002</v>
      </c>
      <c r="J233" s="4">
        <f>SUM('Working Data'!R233,'Working Data'!S233,'Working Data'!T233)</f>
        <v>449.1</v>
      </c>
      <c r="K233" s="4">
        <f>SUM('Working Data'!AC233,'Working Data'!Z233,'Working Data'!Q233)</f>
        <v>456.2</v>
      </c>
      <c r="L233" s="4">
        <v>144.9</v>
      </c>
    </row>
    <row r="234" spans="1:12" hidden="1" x14ac:dyDescent="0.3">
      <c r="A234" s="1" t="s">
        <v>33</v>
      </c>
      <c r="B234" s="1">
        <v>2019</v>
      </c>
      <c r="C234" s="1" t="s">
        <v>40</v>
      </c>
      <c r="D234">
        <f>SUM(Table13[[#This Row],[Cereals and products]:[Food and beverages]])</f>
        <v>1857.3999999999999</v>
      </c>
      <c r="E234" s="12">
        <v>127</v>
      </c>
      <c r="F234" s="12">
        <v>120.6</v>
      </c>
      <c r="G234" s="12">
        <v>150.4</v>
      </c>
      <c r="H234" s="4">
        <f>SUM('Working Data'!X234,'Working Data'!AB234)</f>
        <v>275.89999999999998</v>
      </c>
      <c r="I234" s="4">
        <f>SUM('Working Data'!U234,'Working Data'!W234)</f>
        <v>288.29999999999995</v>
      </c>
      <c r="J234" s="4">
        <f>SUM('Working Data'!R234,'Working Data'!S234,'Working Data'!T234)</f>
        <v>419.3</v>
      </c>
      <c r="K234" s="4">
        <f>SUM('Working Data'!AC234,'Working Data'!Z234,'Working Data'!Q234)</f>
        <v>436.7</v>
      </c>
      <c r="L234" s="4">
        <v>143.30000000000001</v>
      </c>
    </row>
    <row r="235" spans="1:12" x14ac:dyDescent="0.3">
      <c r="A235" s="2" t="s">
        <v>34</v>
      </c>
      <c r="B235" s="2">
        <v>2019</v>
      </c>
      <c r="C235" s="2" t="s">
        <v>40</v>
      </c>
      <c r="D235">
        <f>SUM(Table13[[#This Row],[Cereals and products]:[Food and beverages]])</f>
        <v>1837.5</v>
      </c>
      <c r="E235" s="13">
        <v>139.30000000000001</v>
      </c>
      <c r="F235" s="13">
        <v>125.6</v>
      </c>
      <c r="G235" s="13">
        <v>154</v>
      </c>
      <c r="H235" s="4">
        <f>SUM('Working Data'!X235,'Working Data'!AB235)</f>
        <v>283.60000000000002</v>
      </c>
      <c r="I235" s="4">
        <f>SUM('Working Data'!U235,'Working Data'!W235)</f>
        <v>294.79999999999995</v>
      </c>
      <c r="J235" s="4">
        <f>SUM('Working Data'!R235,'Working Data'!S235,'Working Data'!T235)</f>
        <v>437</v>
      </c>
      <c r="K235" s="4">
        <f>SUM('Working Data'!AC235,'Working Data'!Z235,'Working Data'!Q235)</f>
        <v>445.2</v>
      </c>
      <c r="L235" s="4">
        <v>144.19999999999999</v>
      </c>
    </row>
    <row r="236" spans="1:12" hidden="1" x14ac:dyDescent="0.3">
      <c r="A236" s="1" t="s">
        <v>30</v>
      </c>
      <c r="B236" s="1">
        <v>2019</v>
      </c>
      <c r="C236" s="1" t="s">
        <v>41</v>
      </c>
      <c r="D236">
        <f>SUM(Table13[[#This Row],[Cereals and products]:[Food and beverages]])</f>
        <v>1834.5000000000002</v>
      </c>
      <c r="E236" s="12">
        <v>146.4</v>
      </c>
      <c r="F236" s="12">
        <v>131.4</v>
      </c>
      <c r="G236" s="12">
        <v>159.69999999999999</v>
      </c>
      <c r="H236" s="4">
        <f>SUM('Working Data'!X236,'Working Data'!AB236)</f>
        <v>291.5</v>
      </c>
      <c r="I236" s="4">
        <f>SUM('Working Data'!U236,'Working Data'!W236)</f>
        <v>301.79999999999995</v>
      </c>
      <c r="J236" s="4">
        <f>SUM('Working Data'!R236,'Working Data'!S236,'Working Data'!T236)</f>
        <v>449.5</v>
      </c>
      <c r="K236" s="4">
        <f>SUM('Working Data'!AC236,'Working Data'!Z236,'Working Data'!Q236)</f>
        <v>458</v>
      </c>
      <c r="L236" s="4">
        <v>145.69999999999999</v>
      </c>
    </row>
    <row r="237" spans="1:12" hidden="1" x14ac:dyDescent="0.3">
      <c r="A237" s="2" t="s">
        <v>33</v>
      </c>
      <c r="B237" s="2">
        <v>2019</v>
      </c>
      <c r="C237" s="2" t="s">
        <v>41</v>
      </c>
      <c r="D237">
        <f>SUM(Table13[[#This Row],[Cereals and products]:[Food and beverages]])</f>
        <v>1869.1</v>
      </c>
      <c r="E237" s="13">
        <v>125.5</v>
      </c>
      <c r="F237" s="13">
        <v>120.8</v>
      </c>
      <c r="G237" s="13">
        <v>151.5</v>
      </c>
      <c r="H237" s="4">
        <f>SUM('Working Data'!X237,'Working Data'!AB237)</f>
        <v>279.3</v>
      </c>
      <c r="I237" s="4">
        <f>SUM('Working Data'!U237,'Working Data'!W237)</f>
        <v>289.7</v>
      </c>
      <c r="J237" s="4">
        <f>SUM('Working Data'!R237,'Working Data'!S237,'Working Data'!T237)</f>
        <v>420.2</v>
      </c>
      <c r="K237" s="4">
        <f>SUM('Working Data'!AC237,'Working Data'!Z237,'Working Data'!Q237)</f>
        <v>438.6</v>
      </c>
      <c r="L237" s="4">
        <v>144.19999999999999</v>
      </c>
    </row>
    <row r="238" spans="1:12" x14ac:dyDescent="0.3">
      <c r="A238" s="1" t="s">
        <v>34</v>
      </c>
      <c r="B238" s="1">
        <v>2019</v>
      </c>
      <c r="C238" s="1" t="s">
        <v>41</v>
      </c>
      <c r="D238">
        <f>SUM(Table13[[#This Row],[Cereals and products]:[Food and beverages]])</f>
        <v>1846.5</v>
      </c>
      <c r="E238" s="12">
        <v>138.5</v>
      </c>
      <c r="F238" s="12">
        <v>125.8</v>
      </c>
      <c r="G238" s="12">
        <v>154.9</v>
      </c>
      <c r="H238" s="4">
        <f>SUM('Working Data'!X238,'Working Data'!AB238)</f>
        <v>286.89999999999998</v>
      </c>
      <c r="I238" s="4">
        <f>SUM('Working Data'!U238,'Working Data'!W238)</f>
        <v>296.10000000000002</v>
      </c>
      <c r="J238" s="4">
        <f>SUM('Working Data'!R238,'Working Data'!S238,'Working Data'!T238)</f>
        <v>437.6</v>
      </c>
      <c r="K238" s="4">
        <f>SUM('Working Data'!AC238,'Working Data'!Z238,'Working Data'!Q238)</f>
        <v>446.90000000000003</v>
      </c>
      <c r="L238" s="4">
        <v>145</v>
      </c>
    </row>
    <row r="239" spans="1:12" hidden="1" x14ac:dyDescent="0.3">
      <c r="A239" s="2" t="s">
        <v>30</v>
      </c>
      <c r="B239" s="2">
        <v>2019</v>
      </c>
      <c r="C239" s="2" t="s">
        <v>42</v>
      </c>
      <c r="D239">
        <f>SUM(Table13[[#This Row],[Cereals and products]:[Food and beverages]])</f>
        <v>1848.7</v>
      </c>
      <c r="E239" s="13">
        <v>146.9</v>
      </c>
      <c r="F239" s="13">
        <v>131.6</v>
      </c>
      <c r="G239" s="13">
        <v>160.19999999999999</v>
      </c>
      <c r="H239" s="4">
        <f>SUM('Working Data'!X239,'Working Data'!AB239)</f>
        <v>293.60000000000002</v>
      </c>
      <c r="I239" s="4">
        <f>SUM('Working Data'!U239,'Working Data'!W239)</f>
        <v>302.5</v>
      </c>
      <c r="J239" s="4">
        <f>SUM('Working Data'!R239,'Working Data'!S239,'Working Data'!T239)</f>
        <v>449.29999999999995</v>
      </c>
      <c r="K239" s="4">
        <f>SUM('Working Data'!AC239,'Working Data'!Z239,'Working Data'!Q239)</f>
        <v>459.40000000000003</v>
      </c>
      <c r="L239" s="4">
        <v>146.69999999999999</v>
      </c>
    </row>
    <row r="240" spans="1:12" hidden="1" x14ac:dyDescent="0.3">
      <c r="A240" s="1" t="s">
        <v>33</v>
      </c>
      <c r="B240" s="1">
        <v>2019</v>
      </c>
      <c r="C240" s="1" t="s">
        <v>42</v>
      </c>
      <c r="D240">
        <f>SUM(Table13[[#This Row],[Cereals and products]:[Food and beverages]])</f>
        <v>1874.9</v>
      </c>
      <c r="E240" s="12">
        <v>126.6</v>
      </c>
      <c r="F240" s="12">
        <v>121.2</v>
      </c>
      <c r="G240" s="12">
        <v>151.6</v>
      </c>
      <c r="H240" s="4">
        <f>SUM('Working Data'!X240,'Working Data'!AB240)</f>
        <v>280.89999999999998</v>
      </c>
      <c r="I240" s="4">
        <f>SUM('Working Data'!U240,'Working Data'!W240)</f>
        <v>290.5</v>
      </c>
      <c r="J240" s="4">
        <f>SUM('Working Data'!R240,'Working Data'!S240,'Working Data'!T240)</f>
        <v>420.8</v>
      </c>
      <c r="K240" s="4">
        <f>SUM('Working Data'!AC240,'Working Data'!Z240,'Working Data'!Q240)</f>
        <v>440.20000000000005</v>
      </c>
      <c r="L240" s="4">
        <v>144.69999999999999</v>
      </c>
    </row>
    <row r="241" spans="1:12" x14ac:dyDescent="0.3">
      <c r="A241" s="2" t="s">
        <v>34</v>
      </c>
      <c r="B241" s="2">
        <v>2019</v>
      </c>
      <c r="C241" s="2" t="s">
        <v>42</v>
      </c>
      <c r="D241">
        <f>SUM(Table13[[#This Row],[Cereals and products]:[Food and beverages]])</f>
        <v>1857.6999999999998</v>
      </c>
      <c r="E241" s="13">
        <v>139.19999999999999</v>
      </c>
      <c r="F241" s="13">
        <v>126.1</v>
      </c>
      <c r="G241" s="13">
        <v>155.19999999999999</v>
      </c>
      <c r="H241" s="4">
        <f>SUM('Working Data'!X241,'Working Data'!AB241)</f>
        <v>288.7</v>
      </c>
      <c r="I241" s="4">
        <f>SUM('Working Data'!U241,'Working Data'!W241)</f>
        <v>296.79999999999995</v>
      </c>
      <c r="J241" s="4">
        <f>SUM('Working Data'!R241,'Working Data'!S241,'Working Data'!T241)</f>
        <v>437.69999999999993</v>
      </c>
      <c r="K241" s="4">
        <f>SUM('Working Data'!AC241,'Working Data'!Z241,'Working Data'!Q241)</f>
        <v>448.5</v>
      </c>
      <c r="L241" s="4">
        <v>145.80000000000001</v>
      </c>
    </row>
    <row r="242" spans="1:12" hidden="1" x14ac:dyDescent="0.3">
      <c r="A242" s="1" t="s">
        <v>30</v>
      </c>
      <c r="B242" s="1">
        <v>2019</v>
      </c>
      <c r="C242" s="1" t="s">
        <v>43</v>
      </c>
      <c r="D242">
        <f>SUM(Table13[[#This Row],[Cereals and products]:[Food and beverages]])</f>
        <v>1876.8999999999996</v>
      </c>
      <c r="E242" s="12">
        <v>147.69999999999999</v>
      </c>
      <c r="F242" s="12">
        <v>131.69999999999999</v>
      </c>
      <c r="G242" s="12">
        <v>160.69999999999999</v>
      </c>
      <c r="H242" s="4">
        <f>SUM('Working Data'!X242,'Working Data'!AB242)</f>
        <v>294</v>
      </c>
      <c r="I242" s="4">
        <f>SUM('Working Data'!U242,'Working Data'!W242)</f>
        <v>303.60000000000002</v>
      </c>
      <c r="J242" s="4">
        <f>SUM('Working Data'!R242,'Working Data'!S242,'Working Data'!T242)</f>
        <v>449.4</v>
      </c>
      <c r="K242" s="4">
        <f>SUM('Working Data'!AC242,'Working Data'!Z242,'Working Data'!Q242)</f>
        <v>460.7</v>
      </c>
      <c r="L242" s="4">
        <v>148.30000000000001</v>
      </c>
    </row>
    <row r="243" spans="1:12" hidden="1" x14ac:dyDescent="0.3">
      <c r="A243" s="2" t="s">
        <v>33</v>
      </c>
      <c r="B243" s="2">
        <v>2019</v>
      </c>
      <c r="C243" s="2" t="s">
        <v>43</v>
      </c>
      <c r="D243">
        <f>SUM(Table13[[#This Row],[Cereals and products]:[Food and beverages]])</f>
        <v>1902.6000000000001</v>
      </c>
      <c r="E243" s="13">
        <v>128.9</v>
      </c>
      <c r="F243" s="13">
        <v>121.5</v>
      </c>
      <c r="G243" s="13">
        <v>151.69999999999999</v>
      </c>
      <c r="H243" s="4">
        <f>SUM('Working Data'!X243,'Working Data'!AB243)</f>
        <v>281.89999999999998</v>
      </c>
      <c r="I243" s="4">
        <f>SUM('Working Data'!U243,'Working Data'!W243)</f>
        <v>291.7</v>
      </c>
      <c r="J243" s="4">
        <f>SUM('Working Data'!R243,'Working Data'!S243,'Working Data'!T243)</f>
        <v>422.20000000000005</v>
      </c>
      <c r="K243" s="4">
        <f>SUM('Working Data'!AC243,'Working Data'!Z243,'Working Data'!Q243)</f>
        <v>441.5</v>
      </c>
      <c r="L243" s="4">
        <v>146</v>
      </c>
    </row>
    <row r="244" spans="1:12" x14ac:dyDescent="0.3">
      <c r="A244" s="1" t="s">
        <v>34</v>
      </c>
      <c r="B244" s="1">
        <v>2019</v>
      </c>
      <c r="C244" s="1" t="s">
        <v>43</v>
      </c>
      <c r="D244">
        <f>SUM(Table13[[#This Row],[Cereals and products]:[Food and beverages]])</f>
        <v>1885.5999999999997</v>
      </c>
      <c r="E244" s="12">
        <v>140.6</v>
      </c>
      <c r="F244" s="12">
        <v>126.3</v>
      </c>
      <c r="G244" s="12">
        <v>155.4</v>
      </c>
      <c r="H244" s="4">
        <f>SUM('Working Data'!X244,'Working Data'!AB244)</f>
        <v>289.39999999999998</v>
      </c>
      <c r="I244" s="4">
        <f>SUM('Working Data'!U244,'Working Data'!W244)</f>
        <v>298</v>
      </c>
      <c r="J244" s="4">
        <f>SUM('Working Data'!R244,'Working Data'!S244,'Working Data'!T244)</f>
        <v>438.40000000000003</v>
      </c>
      <c r="K244" s="4">
        <f>SUM('Working Data'!AC244,'Working Data'!Z244,'Working Data'!Q244)</f>
        <v>449.79999999999995</v>
      </c>
      <c r="L244" s="4">
        <v>147.19999999999999</v>
      </c>
    </row>
    <row r="245" spans="1:12" hidden="1" x14ac:dyDescent="0.3">
      <c r="A245" s="2" t="s">
        <v>30</v>
      </c>
      <c r="B245" s="2">
        <v>2019</v>
      </c>
      <c r="C245" s="2" t="s">
        <v>45</v>
      </c>
      <c r="D245">
        <f>SUM(Table13[[#This Row],[Cereals and products]:[Food and beverages]])</f>
        <v>1904.6000000000001</v>
      </c>
      <c r="E245" s="13">
        <v>148.4</v>
      </c>
      <c r="F245" s="13">
        <v>132.1</v>
      </c>
      <c r="G245" s="13">
        <v>160.80000000000001</v>
      </c>
      <c r="H245" s="4">
        <f>SUM('Working Data'!X245,'Working Data'!AB245)</f>
        <v>294.89999999999998</v>
      </c>
      <c r="I245" s="4">
        <f>SUM('Working Data'!U245,'Working Data'!W245)</f>
        <v>304.39999999999998</v>
      </c>
      <c r="J245" s="4">
        <f>SUM('Working Data'!R245,'Working Data'!S245,'Working Data'!T245)</f>
        <v>450.8</v>
      </c>
      <c r="K245" s="4">
        <f>SUM('Working Data'!AC245,'Working Data'!Z245,'Working Data'!Q245)</f>
        <v>462.4</v>
      </c>
      <c r="L245" s="4">
        <v>149.9</v>
      </c>
    </row>
    <row r="246" spans="1:12" hidden="1" x14ac:dyDescent="0.3">
      <c r="A246" s="1" t="s">
        <v>33</v>
      </c>
      <c r="B246" s="1">
        <v>2019</v>
      </c>
      <c r="C246" s="1" t="s">
        <v>45</v>
      </c>
      <c r="D246">
        <f>SUM(Table13[[#This Row],[Cereals and products]:[Food and beverages]])</f>
        <v>1923.9999999999998</v>
      </c>
      <c r="E246" s="12">
        <v>132.19999999999999</v>
      </c>
      <c r="F246" s="12">
        <v>121.7</v>
      </c>
      <c r="G246" s="12">
        <v>151.80000000000001</v>
      </c>
      <c r="H246" s="4">
        <f>SUM('Working Data'!X246,'Working Data'!AB246)</f>
        <v>282.60000000000002</v>
      </c>
      <c r="I246" s="4">
        <f>SUM('Working Data'!U246,'Working Data'!W246)</f>
        <v>292.60000000000002</v>
      </c>
      <c r="J246" s="4">
        <f>SUM('Working Data'!R246,'Working Data'!S246,'Working Data'!T246)</f>
        <v>423.09999999999997</v>
      </c>
      <c r="K246" s="4">
        <f>SUM('Working Data'!AC246,'Working Data'!Z246,'Working Data'!Q246)</f>
        <v>442.9</v>
      </c>
      <c r="L246" s="4">
        <v>147</v>
      </c>
    </row>
    <row r="247" spans="1:12" x14ac:dyDescent="0.3">
      <c r="A247" s="2" t="s">
        <v>34</v>
      </c>
      <c r="B247" s="2">
        <v>2019</v>
      </c>
      <c r="C247" s="2" t="s">
        <v>45</v>
      </c>
      <c r="D247">
        <f>SUM(Table13[[#This Row],[Cereals and products]:[Food and beverages]])</f>
        <v>1910.9</v>
      </c>
      <c r="E247" s="13">
        <v>142.30000000000001</v>
      </c>
      <c r="F247" s="13">
        <v>126.6</v>
      </c>
      <c r="G247" s="13">
        <v>155.5</v>
      </c>
      <c r="H247" s="4">
        <f>SUM('Working Data'!X247,'Working Data'!AB247)</f>
        <v>290.20000000000005</v>
      </c>
      <c r="I247" s="4">
        <f>SUM('Working Data'!U247,'Working Data'!W247)</f>
        <v>298.8</v>
      </c>
      <c r="J247" s="4">
        <f>SUM('Working Data'!R247,'Working Data'!S247,'Working Data'!T247)</f>
        <v>439.5</v>
      </c>
      <c r="K247" s="4">
        <f>SUM('Working Data'!AC247,'Working Data'!Z247,'Working Data'!Q247)</f>
        <v>451.29999999999995</v>
      </c>
      <c r="L247" s="4">
        <v>148.6</v>
      </c>
    </row>
    <row r="248" spans="1:12" hidden="1" x14ac:dyDescent="0.3">
      <c r="A248" s="1" t="s">
        <v>30</v>
      </c>
      <c r="B248" s="1">
        <v>2019</v>
      </c>
      <c r="C248" s="1" t="s">
        <v>46</v>
      </c>
      <c r="D248">
        <f>SUM(Table13[[#This Row],[Cereals and products]:[Food and beverages]])</f>
        <v>1940.9999999999995</v>
      </c>
      <c r="E248" s="12">
        <v>149.9</v>
      </c>
      <c r="F248" s="12">
        <v>135</v>
      </c>
      <c r="G248" s="12">
        <v>161.1</v>
      </c>
      <c r="H248" s="4">
        <f>SUM('Working Data'!X248,'Working Data'!AB248)</f>
        <v>295.39999999999998</v>
      </c>
      <c r="I248" s="4">
        <f>SUM('Working Data'!U248,'Working Data'!W248)</f>
        <v>304</v>
      </c>
      <c r="J248" s="4">
        <f>SUM('Working Data'!R248,'Working Data'!S248,'Working Data'!T248)</f>
        <v>451.79999999999995</v>
      </c>
      <c r="K248" s="4">
        <f>SUM('Working Data'!AC248,'Working Data'!Z248,'Working Data'!Q248)</f>
        <v>464.40000000000003</v>
      </c>
      <c r="L248" s="4">
        <v>152.30000000000001</v>
      </c>
    </row>
    <row r="249" spans="1:12" hidden="1" x14ac:dyDescent="0.3">
      <c r="A249" s="2" t="s">
        <v>33</v>
      </c>
      <c r="B249" s="2">
        <v>2019</v>
      </c>
      <c r="C249" s="2" t="s">
        <v>46</v>
      </c>
      <c r="D249">
        <f>SUM(Table13[[#This Row],[Cereals and products]:[Food and beverages]])</f>
        <v>1956.7</v>
      </c>
      <c r="E249" s="13">
        <v>133.6</v>
      </c>
      <c r="F249" s="13">
        <v>125.2</v>
      </c>
      <c r="G249" s="13">
        <v>151.9</v>
      </c>
      <c r="H249" s="4">
        <f>SUM('Working Data'!X249,'Working Data'!AB249)</f>
        <v>283.39999999999998</v>
      </c>
      <c r="I249" s="4">
        <f>SUM('Working Data'!U249,'Working Data'!W249)</f>
        <v>292.60000000000002</v>
      </c>
      <c r="J249" s="4">
        <f>SUM('Working Data'!R249,'Working Data'!S249,'Working Data'!T249)</f>
        <v>424.20000000000005</v>
      </c>
      <c r="K249" s="4">
        <f>SUM('Working Data'!AC249,'Working Data'!Z249,'Working Data'!Q249)</f>
        <v>444.9</v>
      </c>
      <c r="L249" s="4">
        <v>148.30000000000001</v>
      </c>
    </row>
    <row r="250" spans="1:12" x14ac:dyDescent="0.3">
      <c r="A250" s="1" t="s">
        <v>34</v>
      </c>
      <c r="B250" s="1">
        <v>2019</v>
      </c>
      <c r="C250" s="1" t="s">
        <v>46</v>
      </c>
      <c r="D250">
        <f>SUM(Table13[[#This Row],[Cereals and products]:[Food and beverages]])</f>
        <v>1946.1000000000001</v>
      </c>
      <c r="E250" s="12">
        <v>143.69999999999999</v>
      </c>
      <c r="F250" s="12">
        <v>129.80000000000001</v>
      </c>
      <c r="G250" s="12">
        <v>155.69999999999999</v>
      </c>
      <c r="H250" s="4">
        <f>SUM('Working Data'!X250,'Working Data'!AB250)</f>
        <v>290.8</v>
      </c>
      <c r="I250" s="4">
        <f>SUM('Working Data'!U250,'Working Data'!W250)</f>
        <v>298.60000000000002</v>
      </c>
      <c r="J250" s="4">
        <f>SUM('Working Data'!R250,'Working Data'!S250,'Working Data'!T250)</f>
        <v>440.6</v>
      </c>
      <c r="K250" s="4">
        <f>SUM('Working Data'!AC250,'Working Data'!Z250,'Working Data'!Q250)</f>
        <v>453.3</v>
      </c>
      <c r="L250" s="4">
        <v>150.4</v>
      </c>
    </row>
    <row r="251" spans="1:12" hidden="1" x14ac:dyDescent="0.3">
      <c r="A251" s="2" t="s">
        <v>30</v>
      </c>
      <c r="B251" s="2">
        <v>2020</v>
      </c>
      <c r="C251" s="2" t="s">
        <v>31</v>
      </c>
      <c r="D251">
        <f>SUM(Table13[[#This Row],[Cereals and products]:[Food and beverages]])</f>
        <v>1938.6</v>
      </c>
      <c r="E251" s="13">
        <v>150.4</v>
      </c>
      <c r="F251" s="13">
        <v>136.30000000000001</v>
      </c>
      <c r="G251" s="13">
        <v>161.69999999999999</v>
      </c>
      <c r="H251" s="4">
        <f>SUM('Working Data'!X251,'Working Data'!AB251)</f>
        <v>298.2</v>
      </c>
      <c r="I251" s="4">
        <f>SUM('Working Data'!U251,'Working Data'!W251)</f>
        <v>305.60000000000002</v>
      </c>
      <c r="J251" s="4">
        <f>SUM('Working Data'!R251,'Working Data'!S251,'Working Data'!T251)</f>
        <v>452.30000000000007</v>
      </c>
      <c r="K251" s="4">
        <f>SUM('Working Data'!AC251,'Working Data'!Z251,'Working Data'!Q251)</f>
        <v>466.79999999999995</v>
      </c>
      <c r="L251" s="4">
        <v>151.9</v>
      </c>
    </row>
    <row r="252" spans="1:12" hidden="1" x14ac:dyDescent="0.3">
      <c r="A252" s="1" t="s">
        <v>33</v>
      </c>
      <c r="B252" s="1">
        <v>2020</v>
      </c>
      <c r="C252" s="1" t="s">
        <v>31</v>
      </c>
      <c r="D252">
        <f>SUM(Table13[[#This Row],[Cereals and products]:[Food and beverages]])</f>
        <v>1945.3999999999999</v>
      </c>
      <c r="E252" s="12">
        <v>135.1</v>
      </c>
      <c r="F252" s="12">
        <v>126.1</v>
      </c>
      <c r="G252" s="12">
        <v>152.1</v>
      </c>
      <c r="H252" s="4">
        <f>SUM('Working Data'!X252,'Working Data'!AB252)</f>
        <v>285.89999999999998</v>
      </c>
      <c r="I252" s="4">
        <f>SUM('Working Data'!U252,'Working Data'!W252)</f>
        <v>294</v>
      </c>
      <c r="J252" s="4">
        <f>SUM('Working Data'!R252,'Working Data'!S252,'Working Data'!T252)</f>
        <v>425.1</v>
      </c>
      <c r="K252" s="4">
        <f>SUM('Working Data'!AC252,'Working Data'!Z252,'Working Data'!Q252)</f>
        <v>446.40000000000003</v>
      </c>
      <c r="L252" s="4">
        <v>148.19999999999999</v>
      </c>
    </row>
    <row r="253" spans="1:12" x14ac:dyDescent="0.3">
      <c r="A253" s="2" t="s">
        <v>34</v>
      </c>
      <c r="B253" s="2">
        <v>2020</v>
      </c>
      <c r="C253" s="2" t="s">
        <v>31</v>
      </c>
      <c r="D253">
        <f>SUM(Table13[[#This Row],[Cereals and products]:[Food and beverages]])</f>
        <v>1940.3999999999999</v>
      </c>
      <c r="E253" s="13">
        <v>144.6</v>
      </c>
      <c r="F253" s="13">
        <v>130.9</v>
      </c>
      <c r="G253" s="13">
        <v>156.1</v>
      </c>
      <c r="H253" s="4">
        <f>SUM('Working Data'!X253,'Working Data'!AB253)</f>
        <v>293.5</v>
      </c>
      <c r="I253" s="4">
        <f>SUM('Working Data'!U253,'Working Data'!W253)</f>
        <v>300.10000000000002</v>
      </c>
      <c r="J253" s="4">
        <f>SUM('Working Data'!R253,'Working Data'!S253,'Working Data'!T253)</f>
        <v>441.2</v>
      </c>
      <c r="K253" s="4">
        <f>SUM('Working Data'!AC253,'Working Data'!Z253,'Working Data'!Q253)</f>
        <v>455.40000000000003</v>
      </c>
      <c r="L253" s="4">
        <v>150.19999999999999</v>
      </c>
    </row>
    <row r="254" spans="1:12" hidden="1" x14ac:dyDescent="0.3">
      <c r="A254" s="1" t="s">
        <v>30</v>
      </c>
      <c r="B254" s="1">
        <v>2020</v>
      </c>
      <c r="C254" s="1" t="s">
        <v>35</v>
      </c>
      <c r="D254">
        <f>SUM(Table13[[#This Row],[Cereals and products]:[Food and beverages]])</f>
        <v>1909.7999999999997</v>
      </c>
      <c r="E254" s="12">
        <v>152.30000000000001</v>
      </c>
      <c r="F254" s="12">
        <v>136</v>
      </c>
      <c r="G254" s="12">
        <v>161.9</v>
      </c>
      <c r="H254" s="4">
        <f>SUM('Working Data'!X254,'Working Data'!AB254)</f>
        <v>299.60000000000002</v>
      </c>
      <c r="I254" s="4">
        <f>SUM('Working Data'!U254,'Working Data'!W254)</f>
        <v>306.60000000000002</v>
      </c>
      <c r="J254" s="4">
        <f>SUM('Working Data'!R254,'Working Data'!S254,'Working Data'!T254)</f>
        <v>452.8</v>
      </c>
      <c r="K254" s="4">
        <f>SUM('Working Data'!AC254,'Working Data'!Z254,'Working Data'!Q254)</f>
        <v>468.20000000000005</v>
      </c>
      <c r="L254" s="4">
        <v>150.4</v>
      </c>
    </row>
    <row r="255" spans="1:12" hidden="1" x14ac:dyDescent="0.3">
      <c r="A255" s="2" t="s">
        <v>33</v>
      </c>
      <c r="B255" s="2">
        <v>2020</v>
      </c>
      <c r="C255" s="2" t="s">
        <v>35</v>
      </c>
      <c r="D255">
        <f>SUM(Table13[[#This Row],[Cereals and products]:[Food and beverages]])</f>
        <v>1916.6</v>
      </c>
      <c r="E255" s="13">
        <v>138.9</v>
      </c>
      <c r="F255" s="13">
        <v>125.2</v>
      </c>
      <c r="G255" s="13">
        <v>152.19999999999999</v>
      </c>
      <c r="H255" s="4">
        <f>SUM('Working Data'!X255,'Working Data'!AB255)</f>
        <v>287.89999999999998</v>
      </c>
      <c r="I255" s="4">
        <f>SUM('Working Data'!U255,'Working Data'!W255)</f>
        <v>295.20000000000005</v>
      </c>
      <c r="J255" s="4">
        <f>SUM('Working Data'!R255,'Working Data'!S255,'Working Data'!T255)</f>
        <v>426</v>
      </c>
      <c r="K255" s="4">
        <f>SUM('Working Data'!AC255,'Working Data'!Z255,'Working Data'!Q255)</f>
        <v>448.1</v>
      </c>
      <c r="L255" s="4">
        <v>147.69999999999999</v>
      </c>
    </row>
    <row r="256" spans="1:12" x14ac:dyDescent="0.3">
      <c r="A256" s="1" t="s">
        <v>34</v>
      </c>
      <c r="B256" s="1">
        <v>2020</v>
      </c>
      <c r="C256" s="1" t="s">
        <v>35</v>
      </c>
      <c r="D256">
        <f>SUM(Table13[[#This Row],[Cereals and products]:[Food and beverages]])</f>
        <v>1911.6</v>
      </c>
      <c r="E256" s="12">
        <v>147.19999999999999</v>
      </c>
      <c r="F256" s="12">
        <v>130.30000000000001</v>
      </c>
      <c r="G256" s="12">
        <v>156.19999999999999</v>
      </c>
      <c r="H256" s="4">
        <f>SUM('Working Data'!X256,'Working Data'!AB256)</f>
        <v>295.10000000000002</v>
      </c>
      <c r="I256" s="4">
        <f>SUM('Working Data'!U256,'Working Data'!W256)</f>
        <v>301.20000000000005</v>
      </c>
      <c r="J256" s="4">
        <f>SUM('Working Data'!R256,'Working Data'!S256,'Working Data'!T256)</f>
        <v>442</v>
      </c>
      <c r="K256" s="4">
        <f>SUM('Working Data'!AC256,'Working Data'!Z256,'Working Data'!Q256)</f>
        <v>456.9</v>
      </c>
      <c r="L256" s="4">
        <v>149.1</v>
      </c>
    </row>
    <row r="257" spans="1:12" hidden="1" x14ac:dyDescent="0.3">
      <c r="A257" s="2" t="s">
        <v>30</v>
      </c>
      <c r="B257" s="2">
        <v>2020</v>
      </c>
      <c r="C257" s="2" t="s">
        <v>36</v>
      </c>
      <c r="D257">
        <f>SUM(Table13[[#This Row],[Cereals and products]:[Food and beverages]])</f>
        <v>1894.5999999999997</v>
      </c>
      <c r="E257" s="13">
        <v>153.4</v>
      </c>
      <c r="F257" s="13">
        <v>135.80000000000001</v>
      </c>
      <c r="G257" s="13">
        <v>161.19999999999999</v>
      </c>
      <c r="H257" s="4">
        <f>SUM('Working Data'!X257,'Working Data'!AB257)</f>
        <v>301.79999999999995</v>
      </c>
      <c r="I257" s="4">
        <f>SUM('Working Data'!U257,'Working Data'!W257)</f>
        <v>306</v>
      </c>
      <c r="J257" s="4">
        <f>SUM('Working Data'!R257,'Working Data'!S257,'Working Data'!T257)</f>
        <v>453.5</v>
      </c>
      <c r="K257" s="4">
        <f>SUM('Working Data'!AC257,'Working Data'!Z257,'Working Data'!Q257)</f>
        <v>470.29999999999995</v>
      </c>
      <c r="L257" s="4">
        <v>149.80000000000001</v>
      </c>
    </row>
    <row r="258" spans="1:12" hidden="1" x14ac:dyDescent="0.3">
      <c r="A258" s="1" t="s">
        <v>33</v>
      </c>
      <c r="B258" s="1">
        <v>2020</v>
      </c>
      <c r="C258" s="1" t="s">
        <v>36</v>
      </c>
      <c r="D258">
        <f>SUM(Table13[[#This Row],[Cereals and products]:[Food and beverages]])</f>
        <v>1898.5</v>
      </c>
      <c r="E258" s="12">
        <v>141.4</v>
      </c>
      <c r="F258" s="12">
        <v>124.6</v>
      </c>
      <c r="G258" s="12">
        <v>152.5</v>
      </c>
      <c r="H258" s="4">
        <f>SUM('Working Data'!X258,'Working Data'!AB258)</f>
        <v>290.3</v>
      </c>
      <c r="I258" s="4">
        <f>SUM('Working Data'!U258,'Working Data'!W258)</f>
        <v>295.3</v>
      </c>
      <c r="J258" s="4">
        <f>SUM('Working Data'!R258,'Working Data'!S258,'Working Data'!T258)</f>
        <v>427.1</v>
      </c>
      <c r="K258" s="4">
        <f>SUM('Working Data'!AC258,'Working Data'!Z258,'Working Data'!Q258)</f>
        <v>449.90000000000003</v>
      </c>
      <c r="L258" s="4">
        <v>147.30000000000001</v>
      </c>
    </row>
    <row r="259" spans="1:12" x14ac:dyDescent="0.3">
      <c r="A259" s="2" t="s">
        <v>34</v>
      </c>
      <c r="B259" s="2">
        <v>2020</v>
      </c>
      <c r="C259" s="2" t="s">
        <v>36</v>
      </c>
      <c r="D259">
        <f>SUM(Table13[[#This Row],[Cereals and products]:[Food and beverages]])</f>
        <v>1895.4</v>
      </c>
      <c r="E259" s="13">
        <v>148.9</v>
      </c>
      <c r="F259" s="13">
        <v>129.9</v>
      </c>
      <c r="G259" s="13">
        <v>156.1</v>
      </c>
      <c r="H259" s="4">
        <f>SUM('Working Data'!X259,'Working Data'!AB259)</f>
        <v>297.5</v>
      </c>
      <c r="I259" s="4">
        <f>SUM('Working Data'!U259,'Working Data'!W259)</f>
        <v>300.89999999999998</v>
      </c>
      <c r="J259" s="4">
        <f>SUM('Working Data'!R259,'Working Data'!S259,'Working Data'!T259)</f>
        <v>442.90000000000003</v>
      </c>
      <c r="K259" s="4">
        <f>SUM('Working Data'!AC259,'Working Data'!Z259,'Working Data'!Q259)</f>
        <v>458.7</v>
      </c>
      <c r="L259" s="4">
        <v>148.6</v>
      </c>
    </row>
    <row r="260" spans="1:12" hidden="1" x14ac:dyDescent="0.3">
      <c r="A260" s="1" t="s">
        <v>30</v>
      </c>
      <c r="B260" s="1">
        <v>2020</v>
      </c>
      <c r="C260" s="1" t="s">
        <v>37</v>
      </c>
      <c r="D260">
        <f>SUM(Table13[[#This Row],[Cereals and products]:[Food and beverages]])</f>
        <v>1941.3000000000002</v>
      </c>
      <c r="E260" s="12">
        <v>148.4</v>
      </c>
      <c r="F260" s="12">
        <v>129.85</v>
      </c>
      <c r="G260" s="12">
        <v>156.03749999999999</v>
      </c>
      <c r="H260" s="4">
        <f>SUM('Working Data'!X260,'Working Data'!AB260)</f>
        <v>298.08749999999998</v>
      </c>
      <c r="I260" s="4">
        <f>SUM('Working Data'!U260,'Working Data'!W260)</f>
        <v>301.05</v>
      </c>
      <c r="J260" s="4">
        <f>SUM('Working Data'!R260,'Working Data'!S260,'Working Data'!T260)</f>
        <v>438.82500000000005</v>
      </c>
      <c r="K260" s="4">
        <f>SUM('Working Data'!AC260,'Working Data'!Z260,'Working Data'!Q260)</f>
        <v>456.73749999999995</v>
      </c>
      <c r="L260" s="4">
        <v>148.91249999999999</v>
      </c>
    </row>
    <row r="261" spans="1:12" hidden="1" x14ac:dyDescent="0.3">
      <c r="A261" s="2" t="s">
        <v>33</v>
      </c>
      <c r="B261" s="2">
        <v>2020</v>
      </c>
      <c r="C261" s="2" t="s">
        <v>37</v>
      </c>
      <c r="D261">
        <f>SUM(Table13[[#This Row],[Cereals and products]:[Food and beverages]])</f>
        <v>1963.257142857143</v>
      </c>
      <c r="E261" s="13">
        <v>137.1</v>
      </c>
      <c r="F261" s="13">
        <v>130.3857142857143</v>
      </c>
      <c r="G261" s="13">
        <v>156.59999999999997</v>
      </c>
      <c r="H261" s="4">
        <f>SUM('Working Data'!X261,'Working Data'!AB261)</f>
        <v>288.82857142857142</v>
      </c>
      <c r="I261" s="4">
        <f>SUM('Working Data'!U261,'Working Data'!W261)</f>
        <v>301.81428571428569</v>
      </c>
      <c r="J261" s="4">
        <f>SUM('Working Data'!R261,'Working Data'!S261,'Working Data'!T261)</f>
        <v>440.78571428571433</v>
      </c>
      <c r="K261" s="4">
        <f>SUM('Working Data'!AC261,'Working Data'!Z261,'Working Data'!Q261)</f>
        <v>458.21428571428567</v>
      </c>
      <c r="L261" s="4">
        <v>149.01428571428571</v>
      </c>
    </row>
    <row r="262" spans="1:12" x14ac:dyDescent="0.3">
      <c r="A262" s="1" t="s">
        <v>34</v>
      </c>
      <c r="B262" s="1">
        <v>2020</v>
      </c>
      <c r="C262" s="1" t="s">
        <v>37</v>
      </c>
      <c r="D262">
        <f>SUM(Table13[[#This Row],[Cereals and products]:[Food and beverages]])</f>
        <v>1949.35</v>
      </c>
      <c r="E262" s="12">
        <v>144.1</v>
      </c>
      <c r="F262" s="12">
        <v>130.29999999999998</v>
      </c>
      <c r="G262" s="12">
        <v>156.68333333333334</v>
      </c>
      <c r="H262" s="4">
        <f>SUM('Working Data'!X262,'Working Data'!AB262)</f>
        <v>295.01666666666665</v>
      </c>
      <c r="I262" s="4">
        <f>SUM('Working Data'!U262,'Working Data'!W262)</f>
        <v>301.81666666666666</v>
      </c>
      <c r="J262" s="4">
        <f>SUM('Working Data'!R262,'Working Data'!S262,'Working Data'!T262)</f>
        <v>440.7166666666667</v>
      </c>
      <c r="K262" s="4">
        <f>SUM('Working Data'!AC262,'Working Data'!Z262,'Working Data'!Q262)</f>
        <v>458.68333333333339</v>
      </c>
      <c r="L262" s="4">
        <v>148.81666666666666</v>
      </c>
    </row>
    <row r="263" spans="1:12" hidden="1" x14ac:dyDescent="0.3">
      <c r="A263" s="2" t="s">
        <v>30</v>
      </c>
      <c r="B263" s="2">
        <v>2020</v>
      </c>
      <c r="C263" s="2" t="s">
        <v>38</v>
      </c>
      <c r="D263">
        <f>SUM(Table13[[#This Row],[Cereals and products]:[Food and beverages]])</f>
        <v>1921.3525000000002</v>
      </c>
      <c r="E263" s="13">
        <v>144.92499999999998</v>
      </c>
      <c r="F263" s="13">
        <v>129.16</v>
      </c>
      <c r="G263" s="13">
        <v>155.63999999999999</v>
      </c>
      <c r="H263" s="4">
        <f>SUM('Working Data'!X263,'Working Data'!AB263)</f>
        <v>294.48749999999995</v>
      </c>
      <c r="I263" s="4">
        <f>SUM('Working Data'!U263,'Working Data'!W263)</f>
        <v>300.26</v>
      </c>
      <c r="J263" s="4">
        <f>SUM('Working Data'!R263,'Working Data'!S263,'Working Data'!T263)</f>
        <v>438.29999999999995</v>
      </c>
      <c r="K263" s="4">
        <f>SUM('Working Data'!AC263,'Working Data'!Z263,'Working Data'!Q263)</f>
        <v>456.78000000000003</v>
      </c>
      <c r="L263" s="4">
        <v>148.5</v>
      </c>
    </row>
    <row r="264" spans="1:12" hidden="1" x14ac:dyDescent="0.3">
      <c r="A264" s="1" t="s">
        <v>33</v>
      </c>
      <c r="B264" s="1">
        <v>2020</v>
      </c>
      <c r="C264" s="1" t="s">
        <v>38</v>
      </c>
      <c r="D264">
        <f>SUM(Table13[[#This Row],[Cereals and products]:[Food and beverages]])</f>
        <v>1922.0357142857142</v>
      </c>
      <c r="E264" s="12">
        <v>145.78571428571428</v>
      </c>
      <c r="F264" s="12">
        <v>130.15</v>
      </c>
      <c r="G264" s="12">
        <v>156.5</v>
      </c>
      <c r="H264" s="4">
        <f>SUM('Working Data'!X264,'Working Data'!AB264)</f>
        <v>295.53571428571428</v>
      </c>
      <c r="I264" s="4">
        <f>SUM('Working Data'!U264,'Working Data'!W264)</f>
        <v>301.60000000000002</v>
      </c>
      <c r="J264" s="4">
        <f>SUM('Working Data'!R264,'Working Data'!S264,'Working Data'!T264)</f>
        <v>441.375</v>
      </c>
      <c r="K264" s="4">
        <f>SUM('Working Data'!AC264,'Working Data'!Z264,'Working Data'!Q264)</f>
        <v>458.95000000000005</v>
      </c>
      <c r="L264" s="4">
        <v>148.69999999999999</v>
      </c>
    </row>
    <row r="265" spans="1:12" x14ac:dyDescent="0.3">
      <c r="A265" s="2" t="s">
        <v>34</v>
      </c>
      <c r="B265" s="2">
        <v>2020</v>
      </c>
      <c r="C265" s="2" t="s">
        <v>38</v>
      </c>
      <c r="D265" s="4">
        <f>SUM(Table13[[#This Row],[Cereals and products]:[Food and beverages]])</f>
        <v>1923.7833333333335</v>
      </c>
      <c r="E265" s="13">
        <v>145.55000000000001</v>
      </c>
      <c r="F265" s="13">
        <v>130.1</v>
      </c>
      <c r="G265" s="13">
        <v>156.6</v>
      </c>
      <c r="H265" s="4">
        <f>SUM('Working Data'!X265,'Working Data'!AB265)</f>
        <v>295.83333333333331</v>
      </c>
      <c r="I265" s="4">
        <f>SUM('Working Data'!U265,'Working Data'!W265)</f>
        <v>301.83333333333337</v>
      </c>
      <c r="J265" s="4">
        <f>SUM('Working Data'!R265,'Working Data'!S265,'Working Data'!T265)</f>
        <v>441.16666666666669</v>
      </c>
      <c r="K265" s="4">
        <f>SUM('Working Data'!AC265,'Working Data'!Z265,'Working Data'!Q265)</f>
        <v>459.63333333333333</v>
      </c>
      <c r="L265" s="4">
        <v>148.56666666666669</v>
      </c>
    </row>
    <row r="266" spans="1:12" hidden="1" x14ac:dyDescent="0.3">
      <c r="A266" s="1" t="s">
        <v>30</v>
      </c>
      <c r="B266" s="1">
        <v>2020</v>
      </c>
      <c r="C266" s="1" t="s">
        <v>39</v>
      </c>
      <c r="D266">
        <f>SUM(Table13[[#This Row],[Cereals and products]:[Food and beverages]])</f>
        <v>1951</v>
      </c>
      <c r="E266" s="12">
        <v>144.9</v>
      </c>
      <c r="F266" s="12">
        <v>141.4</v>
      </c>
      <c r="G266" s="12">
        <v>161.80000000000001</v>
      </c>
      <c r="H266" s="4">
        <f>SUM('Working Data'!X266,'Working Data'!AB266)</f>
        <v>309.39999999999998</v>
      </c>
      <c r="I266" s="4">
        <f>SUM('Working Data'!U266,'Working Data'!W266)</f>
        <v>306.39999999999998</v>
      </c>
      <c r="J266" s="4">
        <f>SUM('Working Data'!R266,'Working Data'!S266,'Working Data'!T266)</f>
        <v>458.79999999999995</v>
      </c>
      <c r="K266" s="4">
        <f>SUM('Working Data'!AC266,'Working Data'!Z266,'Working Data'!Q266)</f>
        <v>487.29999999999995</v>
      </c>
      <c r="L266" s="4">
        <v>152.69999999999999</v>
      </c>
    </row>
    <row r="267" spans="1:12" hidden="1" x14ac:dyDescent="0.3">
      <c r="A267" s="2" t="s">
        <v>33</v>
      </c>
      <c r="B267" s="2">
        <v>2020</v>
      </c>
      <c r="C267" s="2" t="s">
        <v>39</v>
      </c>
      <c r="D267">
        <f>SUM(Table13[[#This Row],[Cereals and products]:[Food and beverages]])</f>
        <v>1994.9999999999998</v>
      </c>
      <c r="E267" s="13">
        <v>137.1</v>
      </c>
      <c r="F267" s="13">
        <v>129.30000000000001</v>
      </c>
      <c r="G267" s="13">
        <v>152.5</v>
      </c>
      <c r="H267" s="4">
        <f>SUM('Working Data'!X267,'Working Data'!AB267)</f>
        <v>300.29999999999995</v>
      </c>
      <c r="I267" s="4">
        <f>SUM('Working Data'!U267,'Working Data'!W267)</f>
        <v>295.10000000000002</v>
      </c>
      <c r="J267" s="4">
        <f>SUM('Working Data'!R267,'Working Data'!S267,'Working Data'!T267)</f>
        <v>432.9</v>
      </c>
      <c r="K267" s="4">
        <f>SUM('Working Data'!AC267,'Working Data'!Z267,'Working Data'!Q267)</f>
        <v>473.2</v>
      </c>
      <c r="L267" s="4">
        <v>150.80000000000001</v>
      </c>
    </row>
    <row r="268" spans="1:12" x14ac:dyDescent="0.3">
      <c r="A268" s="1" t="s">
        <v>34</v>
      </c>
      <c r="B268" s="1">
        <v>2020</v>
      </c>
      <c r="C268" s="1" t="s">
        <v>39</v>
      </c>
      <c r="D268">
        <f>SUM(Table13[[#This Row],[Cereals and products]:[Food and beverages]])</f>
        <v>1966.8000000000002</v>
      </c>
      <c r="E268" s="12">
        <v>141.9</v>
      </c>
      <c r="F268" s="12">
        <v>135</v>
      </c>
      <c r="G268" s="12">
        <v>156.4</v>
      </c>
      <c r="H268" s="4">
        <f>SUM('Working Data'!X268,'Working Data'!AB268)</f>
        <v>306</v>
      </c>
      <c r="I268" s="4">
        <f>SUM('Working Data'!U268,'Working Data'!W268)</f>
        <v>301.10000000000002</v>
      </c>
      <c r="J268" s="4">
        <f>SUM('Working Data'!R268,'Working Data'!S268,'Working Data'!T268)</f>
        <v>448.29999999999995</v>
      </c>
      <c r="K268" s="4">
        <f>SUM('Working Data'!AC268,'Working Data'!Z268,'Working Data'!Q268)</f>
        <v>478.8</v>
      </c>
      <c r="L268" s="4">
        <v>151.80000000000001</v>
      </c>
    </row>
    <row r="269" spans="1:12" hidden="1" x14ac:dyDescent="0.3">
      <c r="A269" s="2" t="s">
        <v>30</v>
      </c>
      <c r="B269" s="2">
        <v>2020</v>
      </c>
      <c r="C269" s="2" t="s">
        <v>40</v>
      </c>
      <c r="D269">
        <f>SUM(Table13[[#This Row],[Cereals and products]:[Food and beverages]])</f>
        <v>1951</v>
      </c>
      <c r="E269" s="13">
        <v>144.9</v>
      </c>
      <c r="F269" s="13">
        <v>141.4</v>
      </c>
      <c r="G269" s="13">
        <v>161.80000000000001</v>
      </c>
      <c r="H269" s="4">
        <f>SUM('Working Data'!X269,'Working Data'!AB269)</f>
        <v>309.39999999999998</v>
      </c>
      <c r="I269" s="4">
        <f>SUM('Working Data'!U269,'Working Data'!W269)</f>
        <v>306.39999999999998</v>
      </c>
      <c r="J269" s="4">
        <f>SUM('Working Data'!R269,'Working Data'!S269,'Working Data'!T269)</f>
        <v>458.79999999999995</v>
      </c>
      <c r="K269" s="4">
        <f>SUM('Working Data'!AC269,'Working Data'!Z269,'Working Data'!Q269)</f>
        <v>487.29999999999995</v>
      </c>
      <c r="L269" s="4">
        <v>152.69999999999999</v>
      </c>
    </row>
    <row r="270" spans="1:12" hidden="1" x14ac:dyDescent="0.3">
      <c r="A270" s="1" t="s">
        <v>33</v>
      </c>
      <c r="B270" s="1">
        <v>2020</v>
      </c>
      <c r="C270" s="1" t="s">
        <v>40</v>
      </c>
      <c r="D270">
        <f>SUM(Table13[[#This Row],[Cereals and products]:[Food and beverages]])</f>
        <v>1994.9999999999998</v>
      </c>
      <c r="E270" s="12">
        <v>137.1</v>
      </c>
      <c r="F270" s="12">
        <v>129.30000000000001</v>
      </c>
      <c r="G270" s="12">
        <v>152.5</v>
      </c>
      <c r="H270" s="4">
        <f>SUM('Working Data'!X270,'Working Data'!AB270)</f>
        <v>300.29999999999995</v>
      </c>
      <c r="I270" s="4">
        <f>SUM('Working Data'!U270,'Working Data'!W270)</f>
        <v>295.10000000000002</v>
      </c>
      <c r="J270" s="4">
        <f>SUM('Working Data'!R270,'Working Data'!S270,'Working Data'!T270)</f>
        <v>432.9</v>
      </c>
      <c r="K270" s="4">
        <f>SUM('Working Data'!AC270,'Working Data'!Z270,'Working Data'!Q270)</f>
        <v>473.2</v>
      </c>
      <c r="L270" s="4">
        <v>150.80000000000001</v>
      </c>
    </row>
    <row r="271" spans="1:12" x14ac:dyDescent="0.3">
      <c r="A271" s="2" t="s">
        <v>34</v>
      </c>
      <c r="B271" s="2">
        <v>2020</v>
      </c>
      <c r="C271" s="2" t="s">
        <v>40</v>
      </c>
      <c r="D271">
        <f>SUM(Table13[[#This Row],[Cereals and products]:[Food and beverages]])</f>
        <v>1966.8000000000002</v>
      </c>
      <c r="E271" s="13">
        <v>141.9</v>
      </c>
      <c r="F271" s="13">
        <v>135</v>
      </c>
      <c r="G271" s="13">
        <v>156.4</v>
      </c>
      <c r="H271" s="4">
        <f>SUM('Working Data'!X271,'Working Data'!AB271)</f>
        <v>306</v>
      </c>
      <c r="I271" s="4">
        <f>SUM('Working Data'!U271,'Working Data'!W271)</f>
        <v>301.10000000000002</v>
      </c>
      <c r="J271" s="4">
        <f>SUM('Working Data'!R271,'Working Data'!S271,'Working Data'!T271)</f>
        <v>448.29999999999995</v>
      </c>
      <c r="K271" s="4">
        <f>SUM('Working Data'!AC271,'Working Data'!Z271,'Working Data'!Q271)</f>
        <v>478.8</v>
      </c>
      <c r="L271" s="4">
        <v>151.80000000000001</v>
      </c>
    </row>
    <row r="272" spans="1:12" hidden="1" x14ac:dyDescent="0.3">
      <c r="A272" s="1" t="s">
        <v>30</v>
      </c>
      <c r="B272" s="1">
        <v>2020</v>
      </c>
      <c r="C272" s="1" t="s">
        <v>41</v>
      </c>
      <c r="D272">
        <f>SUM(Table13[[#This Row],[Cereals and products]:[Food and beverages]])</f>
        <v>1978.6</v>
      </c>
      <c r="E272" s="12">
        <v>145.80000000000001</v>
      </c>
      <c r="F272" s="12">
        <v>143.6</v>
      </c>
      <c r="G272" s="12">
        <v>162.69999999999999</v>
      </c>
      <c r="H272" s="4">
        <f>SUM('Working Data'!X272,'Working Data'!AB272)</f>
        <v>312.39999999999998</v>
      </c>
      <c r="I272" s="4">
        <f>SUM('Working Data'!U272,'Working Data'!W272)</f>
        <v>307.39999999999998</v>
      </c>
      <c r="J272" s="4">
        <f>SUM('Working Data'!R272,'Working Data'!S272,'Working Data'!T272)</f>
        <v>458.7</v>
      </c>
      <c r="K272" s="4">
        <f>SUM('Working Data'!AC272,'Working Data'!Z272,'Working Data'!Q272)</f>
        <v>486.1</v>
      </c>
      <c r="L272" s="4">
        <v>154.69999999999999</v>
      </c>
    </row>
    <row r="273" spans="1:12" hidden="1" x14ac:dyDescent="0.3">
      <c r="A273" s="2" t="s">
        <v>33</v>
      </c>
      <c r="B273" s="2">
        <v>2020</v>
      </c>
      <c r="C273" s="2" t="s">
        <v>41</v>
      </c>
      <c r="D273">
        <f>SUM(Table13[[#This Row],[Cereals and products]:[Food and beverages]])</f>
        <v>2024.8999999999999</v>
      </c>
      <c r="E273" s="13">
        <v>138.30000000000001</v>
      </c>
      <c r="F273" s="13">
        <v>133.9</v>
      </c>
      <c r="G273" s="13">
        <v>155.5</v>
      </c>
      <c r="H273" s="4">
        <f>SUM('Working Data'!X273,'Working Data'!AB273)</f>
        <v>303.89999999999998</v>
      </c>
      <c r="I273" s="4">
        <f>SUM('Working Data'!U273,'Working Data'!W273)</f>
        <v>300</v>
      </c>
      <c r="J273" s="4">
        <f>SUM('Working Data'!R273,'Working Data'!S273,'Working Data'!T273)</f>
        <v>433</v>
      </c>
      <c r="K273" s="4">
        <f>SUM('Working Data'!AC273,'Working Data'!Z273,'Working Data'!Q273)</f>
        <v>473.2</v>
      </c>
      <c r="L273" s="4">
        <v>152.9</v>
      </c>
    </row>
    <row r="274" spans="1:12" x14ac:dyDescent="0.3">
      <c r="A274" s="1" t="s">
        <v>34</v>
      </c>
      <c r="B274" s="1">
        <v>2020</v>
      </c>
      <c r="C274" s="1" t="s">
        <v>41</v>
      </c>
      <c r="D274">
        <f>SUM(Table13[[#This Row],[Cereals and products]:[Food and beverages]])</f>
        <v>1995.1999999999998</v>
      </c>
      <c r="E274" s="12">
        <v>143</v>
      </c>
      <c r="F274" s="12">
        <v>138.5</v>
      </c>
      <c r="G274" s="12">
        <v>158.5</v>
      </c>
      <c r="H274" s="4">
        <f>SUM('Working Data'!X274,'Working Data'!AB274)</f>
        <v>309.3</v>
      </c>
      <c r="I274" s="4">
        <f>SUM('Working Data'!U274,'Working Data'!W274)</f>
        <v>303.89999999999998</v>
      </c>
      <c r="J274" s="4">
        <f>SUM('Working Data'!R274,'Working Data'!S274,'Working Data'!T274)</f>
        <v>448.2</v>
      </c>
      <c r="K274" s="4">
        <f>SUM('Working Data'!AC274,'Working Data'!Z274,'Working Data'!Q274)</f>
        <v>477.6</v>
      </c>
      <c r="L274" s="4">
        <v>153.9</v>
      </c>
    </row>
    <row r="275" spans="1:12" hidden="1" x14ac:dyDescent="0.3">
      <c r="A275" s="2" t="s">
        <v>30</v>
      </c>
      <c r="B275" s="2">
        <v>2020</v>
      </c>
      <c r="C275" s="2" t="s">
        <v>42</v>
      </c>
      <c r="D275">
        <f>SUM(Table13[[#This Row],[Cereals and products]:[Food and beverages]])</f>
        <v>1987.3999999999999</v>
      </c>
      <c r="E275" s="13">
        <v>146.4</v>
      </c>
      <c r="F275" s="13">
        <v>144.6</v>
      </c>
      <c r="G275" s="13">
        <v>161.1</v>
      </c>
      <c r="H275" s="4">
        <f>SUM('Working Data'!X275,'Working Data'!AB275)</f>
        <v>316.5</v>
      </c>
      <c r="I275" s="4">
        <f>SUM('Working Data'!U275,'Working Data'!W275)</f>
        <v>307.89999999999998</v>
      </c>
      <c r="J275" s="4">
        <f>SUM('Working Data'!R275,'Working Data'!S275,'Working Data'!T275)</f>
        <v>459.9</v>
      </c>
      <c r="K275" s="4">
        <f>SUM('Working Data'!AC275,'Working Data'!Z275,'Working Data'!Q275)</f>
        <v>489.4</v>
      </c>
      <c r="L275" s="4">
        <v>155.4</v>
      </c>
    </row>
    <row r="276" spans="1:12" hidden="1" x14ac:dyDescent="0.3">
      <c r="A276" s="1" t="s">
        <v>33</v>
      </c>
      <c r="B276" s="1">
        <v>2020</v>
      </c>
      <c r="C276" s="1" t="s">
        <v>42</v>
      </c>
      <c r="D276">
        <f>SUM(Table13[[#This Row],[Cereals and products]:[Food and beverages]])</f>
        <v>2041.6000000000001</v>
      </c>
      <c r="E276" s="12">
        <v>137.19999999999999</v>
      </c>
      <c r="F276" s="12">
        <v>135.1</v>
      </c>
      <c r="G276" s="12">
        <v>154.9</v>
      </c>
      <c r="H276" s="4">
        <f>SUM('Working Data'!X276,'Working Data'!AB276)</f>
        <v>309.8</v>
      </c>
      <c r="I276" s="4">
        <f>SUM('Working Data'!U276,'Working Data'!W276)</f>
        <v>301.70000000000005</v>
      </c>
      <c r="J276" s="4">
        <f>SUM('Working Data'!R276,'Working Data'!S276,'Working Data'!T276)</f>
        <v>434.6</v>
      </c>
      <c r="K276" s="4">
        <f>SUM('Working Data'!AC276,'Working Data'!Z276,'Working Data'!Q276)</f>
        <v>476.5</v>
      </c>
      <c r="L276" s="4">
        <v>154</v>
      </c>
    </row>
    <row r="277" spans="1:12" x14ac:dyDescent="0.3">
      <c r="A277" s="2" t="s">
        <v>34</v>
      </c>
      <c r="B277" s="2">
        <v>2020</v>
      </c>
      <c r="C277" s="2" t="s">
        <v>42</v>
      </c>
      <c r="D277">
        <f>SUM(Table13[[#This Row],[Cereals and products]:[Food and beverages]])</f>
        <v>2007</v>
      </c>
      <c r="E277" s="13">
        <v>142.9</v>
      </c>
      <c r="F277" s="13">
        <v>139.6</v>
      </c>
      <c r="G277" s="13">
        <v>157.5</v>
      </c>
      <c r="H277" s="4">
        <f>SUM('Working Data'!X277,'Working Data'!AB277)</f>
        <v>314</v>
      </c>
      <c r="I277" s="4">
        <f>SUM('Working Data'!U277,'Working Data'!W277)</f>
        <v>305</v>
      </c>
      <c r="J277" s="4">
        <f>SUM('Working Data'!R277,'Working Data'!S277,'Working Data'!T277)</f>
        <v>449.70000000000005</v>
      </c>
      <c r="K277" s="4">
        <f>SUM('Working Data'!AC277,'Working Data'!Z277,'Working Data'!Q277)</f>
        <v>481</v>
      </c>
      <c r="L277" s="4">
        <v>154.69999999999999</v>
      </c>
    </row>
    <row r="278" spans="1:12" hidden="1" x14ac:dyDescent="0.3">
      <c r="A278" s="1" t="s">
        <v>30</v>
      </c>
      <c r="B278" s="1">
        <v>2020</v>
      </c>
      <c r="C278" s="1" t="s">
        <v>43</v>
      </c>
      <c r="D278">
        <f>SUM(Table13[[#This Row],[Cereals and products]:[Food and beverages]])</f>
        <v>2030.9</v>
      </c>
      <c r="E278" s="12">
        <v>146.80000000000001</v>
      </c>
      <c r="F278" s="12">
        <v>146.4</v>
      </c>
      <c r="G278" s="12">
        <v>162.5</v>
      </c>
      <c r="H278" s="4">
        <f>SUM('Working Data'!X278,'Working Data'!AB278)</f>
        <v>315.7</v>
      </c>
      <c r="I278" s="4">
        <f>SUM('Working Data'!U278,'Working Data'!W278)</f>
        <v>308.5</v>
      </c>
      <c r="J278" s="4">
        <f>SUM('Working Data'!R278,'Working Data'!S278,'Working Data'!T278)</f>
        <v>461.29999999999995</v>
      </c>
      <c r="K278" s="4">
        <f>SUM('Working Data'!AC278,'Working Data'!Z278,'Working Data'!Q278)</f>
        <v>489.40000000000003</v>
      </c>
      <c r="L278" s="4">
        <v>157.5</v>
      </c>
    </row>
    <row r="279" spans="1:12" hidden="1" x14ac:dyDescent="0.3">
      <c r="A279" s="2" t="s">
        <v>33</v>
      </c>
      <c r="B279" s="2">
        <v>2020</v>
      </c>
      <c r="C279" s="2" t="s">
        <v>43</v>
      </c>
      <c r="D279">
        <f>SUM(Table13[[#This Row],[Cereals and products]:[Food and beverages]])</f>
        <v>2080.1999999999998</v>
      </c>
      <c r="E279" s="13">
        <v>137.1</v>
      </c>
      <c r="F279" s="13">
        <v>135.4</v>
      </c>
      <c r="G279" s="13">
        <v>155.69999999999999</v>
      </c>
      <c r="H279" s="4">
        <f>SUM('Working Data'!X279,'Working Data'!AB279)</f>
        <v>309.10000000000002</v>
      </c>
      <c r="I279" s="4">
        <f>SUM('Working Data'!U279,'Working Data'!W279)</f>
        <v>301.60000000000002</v>
      </c>
      <c r="J279" s="4">
        <f>SUM('Working Data'!R279,'Working Data'!S279,'Working Data'!T279)</f>
        <v>434.90000000000003</v>
      </c>
      <c r="K279" s="4">
        <f>SUM('Working Data'!AC279,'Working Data'!Z279,'Working Data'!Q279)</f>
        <v>476.9</v>
      </c>
      <c r="L279" s="4">
        <v>155.19999999999999</v>
      </c>
    </row>
    <row r="280" spans="1:12" x14ac:dyDescent="0.3">
      <c r="A280" s="1" t="s">
        <v>34</v>
      </c>
      <c r="B280" s="1">
        <v>2020</v>
      </c>
      <c r="C280" s="1" t="s">
        <v>43</v>
      </c>
      <c r="D280">
        <f>SUM(Table13[[#This Row],[Cereals and products]:[Food and beverages]])</f>
        <v>2048.6000000000004</v>
      </c>
      <c r="E280" s="12">
        <v>143.1</v>
      </c>
      <c r="F280" s="12">
        <v>140.6</v>
      </c>
      <c r="G280" s="12">
        <v>158.5</v>
      </c>
      <c r="H280" s="4">
        <f>SUM('Working Data'!X280,'Working Data'!AB280)</f>
        <v>313.3</v>
      </c>
      <c r="I280" s="4">
        <f>SUM('Working Data'!U280,'Working Data'!W280)</f>
        <v>305.2</v>
      </c>
      <c r="J280" s="4">
        <f>SUM('Working Data'!R280,'Working Data'!S280,'Working Data'!T280)</f>
        <v>450.59999999999997</v>
      </c>
      <c r="K280" s="4">
        <f>SUM('Working Data'!AC280,'Working Data'!Z280,'Working Data'!Q280)</f>
        <v>481.2</v>
      </c>
      <c r="L280" s="4">
        <v>156.4</v>
      </c>
    </row>
    <row r="281" spans="1:12" hidden="1" x14ac:dyDescent="0.3">
      <c r="A281" s="2" t="s">
        <v>30</v>
      </c>
      <c r="B281" s="2">
        <v>2020</v>
      </c>
      <c r="C281" s="2" t="s">
        <v>45</v>
      </c>
      <c r="D281">
        <f>SUM(Table13[[#This Row],[Cereals and products]:[Food and beverages]])</f>
        <v>2082.4</v>
      </c>
      <c r="E281" s="13">
        <v>147.5</v>
      </c>
      <c r="F281" s="13">
        <v>146.1</v>
      </c>
      <c r="G281" s="13">
        <v>161.6</v>
      </c>
      <c r="H281" s="4">
        <f>SUM('Working Data'!X281,'Working Data'!AB281)</f>
        <v>316.60000000000002</v>
      </c>
      <c r="I281" s="4">
        <f>SUM('Working Data'!U281,'Working Data'!W281)</f>
        <v>310.8</v>
      </c>
      <c r="J281" s="4">
        <f>SUM('Working Data'!R281,'Working Data'!S281,'Working Data'!T281)</f>
        <v>462.8</v>
      </c>
      <c r="K281" s="4">
        <f>SUM('Working Data'!AC281,'Working Data'!Z281,'Working Data'!Q281)</f>
        <v>491.5</v>
      </c>
      <c r="L281" s="4">
        <v>159.80000000000001</v>
      </c>
    </row>
    <row r="282" spans="1:12" hidden="1" x14ac:dyDescent="0.3">
      <c r="A282" s="1" t="s">
        <v>33</v>
      </c>
      <c r="B282" s="1">
        <v>2020</v>
      </c>
      <c r="C282" s="1" t="s">
        <v>45</v>
      </c>
      <c r="D282">
        <f>SUM(Table13[[#This Row],[Cereals and products]:[Food and beverages]])</f>
        <v>2120.6999999999998</v>
      </c>
      <c r="E282" s="12">
        <v>137.30000000000001</v>
      </c>
      <c r="F282" s="12">
        <v>135.19999999999999</v>
      </c>
      <c r="G282" s="12">
        <v>156.4</v>
      </c>
      <c r="H282" s="4">
        <f>SUM('Working Data'!X282,'Working Data'!AB282)</f>
        <v>309.89999999999998</v>
      </c>
      <c r="I282" s="4">
        <f>SUM('Working Data'!U282,'Working Data'!W282)</f>
        <v>303.10000000000002</v>
      </c>
      <c r="J282" s="4">
        <f>SUM('Working Data'!R282,'Working Data'!S282,'Working Data'!T282)</f>
        <v>436.3</v>
      </c>
      <c r="K282" s="4">
        <f>SUM('Working Data'!AC282,'Working Data'!Z282,'Working Data'!Q282)</f>
        <v>479.8</v>
      </c>
      <c r="L282" s="4">
        <v>156.69999999999999</v>
      </c>
    </row>
    <row r="283" spans="1:12" x14ac:dyDescent="0.3">
      <c r="A283" s="2" t="s">
        <v>34</v>
      </c>
      <c r="B283" s="2">
        <v>2020</v>
      </c>
      <c r="C283" s="2" t="s">
        <v>45</v>
      </c>
      <c r="D283">
        <f>SUM(Table13[[#This Row],[Cereals and products]:[Food and beverages]])</f>
        <v>2095.6</v>
      </c>
      <c r="E283" s="13">
        <v>143.6</v>
      </c>
      <c r="F283" s="13">
        <v>140.4</v>
      </c>
      <c r="G283" s="13">
        <v>158.6</v>
      </c>
      <c r="H283" s="4">
        <f>SUM('Working Data'!X283,'Working Data'!AB283)</f>
        <v>314.10000000000002</v>
      </c>
      <c r="I283" s="4">
        <f>SUM('Working Data'!U283,'Working Data'!W283)</f>
        <v>307.2</v>
      </c>
      <c r="J283" s="4">
        <f>SUM('Working Data'!R283,'Working Data'!S283,'Working Data'!T283)</f>
        <v>452.00000000000006</v>
      </c>
      <c r="K283" s="4">
        <f>SUM('Working Data'!AC283,'Working Data'!Z283,'Working Data'!Q283)</f>
        <v>483.90000000000003</v>
      </c>
      <c r="L283" s="4">
        <v>158.4</v>
      </c>
    </row>
    <row r="284" spans="1:12" hidden="1" x14ac:dyDescent="0.3">
      <c r="A284" s="1" t="s">
        <v>30</v>
      </c>
      <c r="B284" s="1">
        <v>2020</v>
      </c>
      <c r="C284" s="1" t="s">
        <v>46</v>
      </c>
      <c r="D284">
        <f>SUM(Table13[[#This Row],[Cereals and products]:[Food and beverages]])</f>
        <v>2100.5</v>
      </c>
      <c r="E284" s="12">
        <v>148.69999999999999</v>
      </c>
      <c r="F284" s="12">
        <v>146.4</v>
      </c>
      <c r="G284" s="12">
        <v>162.9</v>
      </c>
      <c r="H284" s="4">
        <f>SUM('Working Data'!X284,'Working Data'!AB284)</f>
        <v>318.2</v>
      </c>
      <c r="I284" s="4">
        <f>SUM('Working Data'!U284,'Working Data'!W284)</f>
        <v>311.8</v>
      </c>
      <c r="J284" s="4">
        <f>SUM('Working Data'!R284,'Working Data'!S284,'Working Data'!T284)</f>
        <v>464.90000000000003</v>
      </c>
      <c r="K284" s="4">
        <f>SUM('Working Data'!AC284,'Working Data'!Z284,'Working Data'!Q284)</f>
        <v>492.70000000000005</v>
      </c>
      <c r="L284" s="4">
        <v>160.69999999999999</v>
      </c>
    </row>
    <row r="285" spans="1:12" hidden="1" x14ac:dyDescent="0.3">
      <c r="A285" s="2" t="s">
        <v>33</v>
      </c>
      <c r="B285" s="2">
        <v>2020</v>
      </c>
      <c r="C285" s="2" t="s">
        <v>46</v>
      </c>
      <c r="D285">
        <f>SUM(Table13[[#This Row],[Cereals and products]:[Food and beverages]])</f>
        <v>2125.4</v>
      </c>
      <c r="E285" s="13">
        <v>137.9</v>
      </c>
      <c r="F285" s="13">
        <v>135.5</v>
      </c>
      <c r="G285" s="13">
        <v>156.9</v>
      </c>
      <c r="H285" s="4">
        <f>SUM('Working Data'!X285,'Working Data'!AB285)</f>
        <v>310.8</v>
      </c>
      <c r="I285" s="4">
        <f>SUM('Working Data'!U285,'Working Data'!W285)</f>
        <v>303.89999999999998</v>
      </c>
      <c r="J285" s="4">
        <f>SUM('Working Data'!R285,'Working Data'!S285,'Working Data'!T285)</f>
        <v>438.20000000000005</v>
      </c>
      <c r="K285" s="4">
        <f>SUM('Working Data'!AC285,'Working Data'!Z285,'Working Data'!Q285)</f>
        <v>481.40000000000003</v>
      </c>
      <c r="L285" s="4">
        <v>156.9</v>
      </c>
    </row>
    <row r="286" spans="1:12" x14ac:dyDescent="0.3">
      <c r="A286" s="1" t="s">
        <v>34</v>
      </c>
      <c r="B286" s="1">
        <v>2020</v>
      </c>
      <c r="C286" s="1" t="s">
        <v>46</v>
      </c>
      <c r="D286">
        <f>SUM(Table13[[#This Row],[Cereals and products]:[Food and beverages]])</f>
        <v>2109.1</v>
      </c>
      <c r="E286" s="12">
        <v>144.6</v>
      </c>
      <c r="F286" s="12">
        <v>140.69999999999999</v>
      </c>
      <c r="G286" s="12">
        <v>159.4</v>
      </c>
      <c r="H286" s="4">
        <f>SUM('Working Data'!X286,'Working Data'!AB286)</f>
        <v>315.39999999999998</v>
      </c>
      <c r="I286" s="4">
        <f>SUM('Working Data'!U286,'Working Data'!W286)</f>
        <v>308.10000000000002</v>
      </c>
      <c r="J286" s="4">
        <f>SUM('Working Data'!R286,'Working Data'!S286,'Working Data'!T286)</f>
        <v>454</v>
      </c>
      <c r="K286" s="4">
        <f>SUM('Working Data'!AC286,'Working Data'!Z286,'Working Data'!Q286)</f>
        <v>485.1</v>
      </c>
      <c r="L286" s="4">
        <v>158.9</v>
      </c>
    </row>
    <row r="287" spans="1:12" hidden="1" x14ac:dyDescent="0.3">
      <c r="A287" s="2" t="s">
        <v>30</v>
      </c>
      <c r="B287" s="2">
        <v>2021</v>
      </c>
      <c r="C287" s="2" t="s">
        <v>31</v>
      </c>
      <c r="D287">
        <f>SUM(Table13[[#This Row],[Cereals and products]:[Food and beverages]])</f>
        <v>2065.6999999999998</v>
      </c>
      <c r="E287" s="13">
        <v>150.9</v>
      </c>
      <c r="F287" s="13">
        <v>147.5</v>
      </c>
      <c r="G287" s="13">
        <v>163.5</v>
      </c>
      <c r="H287" s="4">
        <f>SUM('Working Data'!X287,'Working Data'!AB287)</f>
        <v>318.7</v>
      </c>
      <c r="I287" s="4">
        <f>SUM('Working Data'!U287,'Working Data'!W287)</f>
        <v>311.60000000000002</v>
      </c>
      <c r="J287" s="4">
        <f>SUM('Working Data'!R287,'Working Data'!S287,'Working Data'!T287)</f>
        <v>466.7</v>
      </c>
      <c r="K287" s="4">
        <f>SUM('Working Data'!AC287,'Working Data'!Z287,'Working Data'!Q287)</f>
        <v>495.6</v>
      </c>
      <c r="L287" s="4">
        <v>158.5</v>
      </c>
    </row>
    <row r="288" spans="1:12" hidden="1" x14ac:dyDescent="0.3">
      <c r="A288" s="1" t="s">
        <v>33</v>
      </c>
      <c r="B288" s="1">
        <v>2021</v>
      </c>
      <c r="C288" s="1" t="s">
        <v>31</v>
      </c>
      <c r="D288">
        <f>SUM(Table13[[#This Row],[Cereals and products]:[Food and beverages]])</f>
        <v>2097</v>
      </c>
      <c r="E288" s="12">
        <v>142.9</v>
      </c>
      <c r="F288" s="12">
        <v>136.9</v>
      </c>
      <c r="G288" s="12">
        <v>156.1</v>
      </c>
      <c r="H288" s="4">
        <f>SUM('Working Data'!X288,'Working Data'!AB288)</f>
        <v>311.79999999999995</v>
      </c>
      <c r="I288" s="4">
        <f>SUM('Working Data'!U288,'Working Data'!W288)</f>
        <v>303.39999999999998</v>
      </c>
      <c r="J288" s="4">
        <f>SUM('Working Data'!R288,'Working Data'!S288,'Working Data'!T288)</f>
        <v>440</v>
      </c>
      <c r="K288" s="4">
        <f>SUM('Working Data'!AC288,'Working Data'!Z288,'Working Data'!Q288)</f>
        <v>484.8</v>
      </c>
      <c r="L288" s="4">
        <v>156</v>
      </c>
    </row>
    <row r="289" spans="1:12" x14ac:dyDescent="0.3">
      <c r="A289" s="2" t="s">
        <v>34</v>
      </c>
      <c r="B289" s="2">
        <v>2021</v>
      </c>
      <c r="C289" s="2" t="s">
        <v>31</v>
      </c>
      <c r="D289">
        <f>SUM(Table13[[#This Row],[Cereals and products]:[Food and beverages]])</f>
        <v>2076.5</v>
      </c>
      <c r="E289" s="13">
        <v>147.9</v>
      </c>
      <c r="F289" s="13">
        <v>141.9</v>
      </c>
      <c r="G289" s="13">
        <v>159.19999999999999</v>
      </c>
      <c r="H289" s="4">
        <f>SUM('Working Data'!X289,'Working Data'!AB289)</f>
        <v>316.10000000000002</v>
      </c>
      <c r="I289" s="4">
        <f>SUM('Working Data'!U289,'Working Data'!W289)</f>
        <v>307.7</v>
      </c>
      <c r="J289" s="4">
        <f>SUM('Working Data'!R289,'Working Data'!S289,'Working Data'!T289)</f>
        <v>455.8</v>
      </c>
      <c r="K289" s="4">
        <f>SUM('Working Data'!AC289,'Working Data'!Z289,'Working Data'!Q289)</f>
        <v>488</v>
      </c>
      <c r="L289" s="4">
        <v>157.30000000000001</v>
      </c>
    </row>
    <row r="290" spans="1:12" hidden="1" x14ac:dyDescent="0.3">
      <c r="A290" s="1" t="s">
        <v>30</v>
      </c>
      <c r="B290" s="1">
        <v>2021</v>
      </c>
      <c r="C290" s="1" t="s">
        <v>35</v>
      </c>
      <c r="D290">
        <f>SUM(Table13[[#This Row],[Cereals and products]:[Food and beverages]])</f>
        <v>2025.3</v>
      </c>
      <c r="E290" s="12">
        <v>154.4</v>
      </c>
      <c r="F290" s="12">
        <v>150.19999999999999</v>
      </c>
      <c r="G290" s="12">
        <v>163.6</v>
      </c>
      <c r="H290" s="4">
        <f>SUM('Working Data'!X290,'Working Data'!AB290)</f>
        <v>319.5</v>
      </c>
      <c r="I290" s="4">
        <f>SUM('Working Data'!U290,'Working Data'!W290)</f>
        <v>314.60000000000002</v>
      </c>
      <c r="J290" s="4">
        <f>SUM('Working Data'!R290,'Working Data'!S290,'Working Data'!T290)</f>
        <v>471.4</v>
      </c>
      <c r="K290" s="4">
        <f>SUM('Working Data'!AC290,'Working Data'!Z290,'Working Data'!Q290)</f>
        <v>500.7</v>
      </c>
      <c r="L290" s="4">
        <v>156.69999999999999</v>
      </c>
    </row>
    <row r="291" spans="1:12" hidden="1" x14ac:dyDescent="0.3">
      <c r="A291" s="2" t="s">
        <v>33</v>
      </c>
      <c r="B291" s="2">
        <v>2021</v>
      </c>
      <c r="C291" s="2" t="s">
        <v>35</v>
      </c>
      <c r="D291">
        <f>SUM(Table13[[#This Row],[Cereals and products]:[Food and beverages]])</f>
        <v>2066</v>
      </c>
      <c r="E291" s="13">
        <v>149.1</v>
      </c>
      <c r="F291" s="13">
        <v>140.5</v>
      </c>
      <c r="G291" s="13">
        <v>156.6</v>
      </c>
      <c r="H291" s="4">
        <f>SUM('Working Data'!X291,'Working Data'!AB291)</f>
        <v>313</v>
      </c>
      <c r="I291" s="4">
        <f>SUM('Working Data'!U291,'Working Data'!W291)</f>
        <v>306.3</v>
      </c>
      <c r="J291" s="4">
        <f>SUM('Working Data'!R291,'Working Data'!S291,'Working Data'!T291)</f>
        <v>444.2</v>
      </c>
      <c r="K291" s="4">
        <f>SUM('Working Data'!AC291,'Working Data'!Z291,'Working Data'!Q291)</f>
        <v>489.90000000000003</v>
      </c>
      <c r="L291" s="4">
        <v>156.5</v>
      </c>
    </row>
    <row r="292" spans="1:12" x14ac:dyDescent="0.3">
      <c r="A292" s="1" t="s">
        <v>34</v>
      </c>
      <c r="B292" s="1">
        <v>2021</v>
      </c>
      <c r="C292" s="1" t="s">
        <v>35</v>
      </c>
      <c r="D292">
        <f>SUM(Table13[[#This Row],[Cereals and products]:[Food and beverages]])</f>
        <v>2039.3000000000002</v>
      </c>
      <c r="E292" s="12">
        <v>152.4</v>
      </c>
      <c r="F292" s="12">
        <v>145.1</v>
      </c>
      <c r="G292" s="12">
        <v>159.5</v>
      </c>
      <c r="H292" s="4">
        <f>SUM('Working Data'!X292,'Working Data'!AB292)</f>
        <v>317.10000000000002</v>
      </c>
      <c r="I292" s="4">
        <f>SUM('Working Data'!U292,'Working Data'!W292)</f>
        <v>310.70000000000005</v>
      </c>
      <c r="J292" s="4">
        <f>SUM('Working Data'!R292,'Working Data'!S292,'Working Data'!T292)</f>
        <v>460.40000000000003</v>
      </c>
      <c r="K292" s="4">
        <f>SUM('Working Data'!AC292,'Working Data'!Z292,'Working Data'!Q292)</f>
        <v>493.2</v>
      </c>
      <c r="L292" s="4">
        <v>156.6</v>
      </c>
    </row>
    <row r="293" spans="1:12" hidden="1" x14ac:dyDescent="0.3">
      <c r="A293" s="2" t="s">
        <v>30</v>
      </c>
      <c r="B293" s="2">
        <v>2021</v>
      </c>
      <c r="C293" s="2" t="s">
        <v>36</v>
      </c>
      <c r="D293">
        <f>SUM(Table13[[#This Row],[Cereals and products]:[Food and beverages]])</f>
        <v>2025.7</v>
      </c>
      <c r="E293" s="13">
        <v>156</v>
      </c>
      <c r="F293" s="13">
        <v>151.30000000000001</v>
      </c>
      <c r="G293" s="13">
        <v>163.80000000000001</v>
      </c>
      <c r="H293" s="4">
        <f>SUM('Working Data'!X293,'Working Data'!AB293)</f>
        <v>317.7</v>
      </c>
      <c r="I293" s="4">
        <f>SUM('Working Data'!U293,'Working Data'!W293)</f>
        <v>314.70000000000005</v>
      </c>
      <c r="J293" s="4">
        <f>SUM('Working Data'!R293,'Working Data'!S293,'Working Data'!T293)</f>
        <v>472.9</v>
      </c>
      <c r="K293" s="4">
        <f>SUM('Working Data'!AC293,'Working Data'!Z293,'Working Data'!Q293)</f>
        <v>501.20000000000005</v>
      </c>
      <c r="L293" s="4">
        <v>156.69999999999999</v>
      </c>
    </row>
    <row r="294" spans="1:12" hidden="1" x14ac:dyDescent="0.3">
      <c r="A294" s="1" t="s">
        <v>33</v>
      </c>
      <c r="B294" s="1">
        <v>2021</v>
      </c>
      <c r="C294" s="1" t="s">
        <v>36</v>
      </c>
      <c r="D294">
        <f>SUM(Table13[[#This Row],[Cereals and products]:[Food and beverages]])</f>
        <v>2064.4999999999995</v>
      </c>
      <c r="E294" s="12">
        <v>154.80000000000001</v>
      </c>
      <c r="F294" s="12">
        <v>141.69999999999999</v>
      </c>
      <c r="G294" s="12">
        <v>157.6</v>
      </c>
      <c r="H294" s="4">
        <f>SUM('Working Data'!X294,'Working Data'!AB294)</f>
        <v>311.8</v>
      </c>
      <c r="I294" s="4">
        <f>SUM('Working Data'!U294,'Working Data'!W294)</f>
        <v>307.10000000000002</v>
      </c>
      <c r="J294" s="4">
        <f>SUM('Working Data'!R294,'Working Data'!S294,'Working Data'!T294)</f>
        <v>446.4</v>
      </c>
      <c r="K294" s="4">
        <f>SUM('Working Data'!AC294,'Working Data'!Z294,'Working Data'!Q294)</f>
        <v>492.1</v>
      </c>
      <c r="L294" s="4">
        <v>156.9</v>
      </c>
    </row>
    <row r="295" spans="1:12" x14ac:dyDescent="0.3">
      <c r="A295" s="2" t="s">
        <v>34</v>
      </c>
      <c r="B295" s="2">
        <v>2021</v>
      </c>
      <c r="C295" s="2" t="s">
        <v>36</v>
      </c>
      <c r="D295">
        <f>SUM(Table13[[#This Row],[Cereals and products]:[Food and beverages]])</f>
        <v>2039.3999999999999</v>
      </c>
      <c r="E295" s="13">
        <v>155.5</v>
      </c>
      <c r="F295" s="13">
        <v>146.19999999999999</v>
      </c>
      <c r="G295" s="13">
        <v>160.19999999999999</v>
      </c>
      <c r="H295" s="4">
        <f>SUM('Working Data'!X295,'Working Data'!AB295)</f>
        <v>315.5</v>
      </c>
      <c r="I295" s="4">
        <f>SUM('Working Data'!U295,'Working Data'!W295)</f>
        <v>311.10000000000002</v>
      </c>
      <c r="J295" s="4">
        <f>SUM('Working Data'!R295,'Working Data'!S295,'Working Data'!T295)</f>
        <v>462.1</v>
      </c>
      <c r="K295" s="4">
        <f>SUM('Working Data'!AC295,'Working Data'!Z295,'Working Data'!Q295)</f>
        <v>494.5</v>
      </c>
      <c r="L295" s="4">
        <v>156.80000000000001</v>
      </c>
    </row>
    <row r="296" spans="1:12" hidden="1" x14ac:dyDescent="0.3">
      <c r="A296" s="1" t="s">
        <v>30</v>
      </c>
      <c r="B296" s="1">
        <v>2021</v>
      </c>
      <c r="C296" s="1" t="s">
        <v>37</v>
      </c>
      <c r="D296">
        <f>SUM(Table13[[#This Row],[Cereals and products]:[Food and beverages]])</f>
        <v>2049.5</v>
      </c>
      <c r="E296" s="12">
        <v>156</v>
      </c>
      <c r="F296" s="12">
        <v>151.69999999999999</v>
      </c>
      <c r="G296" s="12">
        <v>164.1</v>
      </c>
      <c r="H296" s="4">
        <f>SUM('Working Data'!X296,'Working Data'!AB296)</f>
        <v>319.89999999999998</v>
      </c>
      <c r="I296" s="4">
        <f>SUM('Working Data'!U296,'Working Data'!W296)</f>
        <v>316.89999999999998</v>
      </c>
      <c r="J296" s="4">
        <f>SUM('Working Data'!R296,'Working Data'!S296,'Working Data'!T296)</f>
        <v>475.69999999999993</v>
      </c>
      <c r="K296" s="4">
        <f>SUM('Working Data'!AC296,'Working Data'!Z296,'Working Data'!Q296)</f>
        <v>503.40000000000003</v>
      </c>
      <c r="L296" s="4">
        <v>157.6</v>
      </c>
    </row>
    <row r="297" spans="1:12" hidden="1" x14ac:dyDescent="0.3">
      <c r="A297" s="2" t="s">
        <v>33</v>
      </c>
      <c r="B297" s="2">
        <v>2021</v>
      </c>
      <c r="C297" s="2" t="s">
        <v>37</v>
      </c>
      <c r="D297">
        <f>SUM(Table13[[#This Row],[Cereals and products]:[Food and beverages]])</f>
        <v>2089.6</v>
      </c>
      <c r="E297" s="13">
        <v>154.9</v>
      </c>
      <c r="F297" s="13">
        <v>142.1</v>
      </c>
      <c r="G297" s="13">
        <v>157.6</v>
      </c>
      <c r="H297" s="4">
        <f>SUM('Working Data'!X297,'Working Data'!AB297)</f>
        <v>314.10000000000002</v>
      </c>
      <c r="I297" s="4">
        <f>SUM('Working Data'!U297,'Working Data'!W297)</f>
        <v>309</v>
      </c>
      <c r="J297" s="4">
        <f>SUM('Working Data'!R297,'Working Data'!S297,'Working Data'!T297)</f>
        <v>448.6</v>
      </c>
      <c r="K297" s="4">
        <f>SUM('Working Data'!AC297,'Working Data'!Z297,'Working Data'!Q297)</f>
        <v>494</v>
      </c>
      <c r="L297" s="4">
        <v>158</v>
      </c>
    </row>
    <row r="298" spans="1:12" x14ac:dyDescent="0.3">
      <c r="A298" s="1" t="s">
        <v>34</v>
      </c>
      <c r="B298" s="1">
        <v>2021</v>
      </c>
      <c r="C298" s="1" t="s">
        <v>37</v>
      </c>
      <c r="D298">
        <f>SUM(Table13[[#This Row],[Cereals and products]:[Food and beverages]])</f>
        <v>2064.1</v>
      </c>
      <c r="E298" s="12">
        <v>155.6</v>
      </c>
      <c r="F298" s="12">
        <v>146.6</v>
      </c>
      <c r="G298" s="12">
        <v>160.30000000000001</v>
      </c>
      <c r="H298" s="4">
        <f>SUM('Working Data'!X298,'Working Data'!AB298)</f>
        <v>317.70000000000005</v>
      </c>
      <c r="I298" s="4">
        <f>SUM('Working Data'!U298,'Working Data'!W298)</f>
        <v>313.20000000000005</v>
      </c>
      <c r="J298" s="4">
        <f>SUM('Working Data'!R298,'Working Data'!S298,'Working Data'!T298)</f>
        <v>464.6</v>
      </c>
      <c r="K298" s="4">
        <f>SUM('Working Data'!AC298,'Working Data'!Z298,'Working Data'!Q298)</f>
        <v>496.40000000000003</v>
      </c>
      <c r="L298" s="4">
        <v>157.80000000000001</v>
      </c>
    </row>
    <row r="299" spans="1:12" hidden="1" x14ac:dyDescent="0.3">
      <c r="A299" s="2" t="s">
        <v>30</v>
      </c>
      <c r="B299" s="2">
        <v>2021</v>
      </c>
      <c r="C299" s="2" t="s">
        <v>38</v>
      </c>
      <c r="D299">
        <f>SUM(Table13[[#This Row],[Cereals and products]:[Food and beverages]])</f>
        <v>2095.2999999999997</v>
      </c>
      <c r="E299" s="13">
        <v>161.69999999999999</v>
      </c>
      <c r="F299" s="13">
        <v>153.19999999999999</v>
      </c>
      <c r="G299" s="13">
        <v>167.6</v>
      </c>
      <c r="H299" s="4">
        <f>SUM('Working Data'!X299,'Working Data'!AB299)</f>
        <v>328.4</v>
      </c>
      <c r="I299" s="4">
        <f>SUM('Working Data'!U299,'Working Data'!W299)</f>
        <v>320.39999999999998</v>
      </c>
      <c r="J299" s="4">
        <f>SUM('Working Data'!R299,'Working Data'!S299,'Working Data'!T299)</f>
        <v>490.4</v>
      </c>
      <c r="K299" s="4">
        <f>SUM('Working Data'!AC299,'Working Data'!Z299,'Working Data'!Q299)</f>
        <v>510.70000000000005</v>
      </c>
      <c r="L299" s="4">
        <v>161.1</v>
      </c>
    </row>
    <row r="300" spans="1:12" hidden="1" x14ac:dyDescent="0.3">
      <c r="A300" s="1" t="s">
        <v>33</v>
      </c>
      <c r="B300" s="1">
        <v>2021</v>
      </c>
      <c r="C300" s="1" t="s">
        <v>38</v>
      </c>
      <c r="D300">
        <f>SUM(Table13[[#This Row],[Cereals and products]:[Food and beverages]])</f>
        <v>2124.7000000000003</v>
      </c>
      <c r="E300" s="12">
        <v>155.5</v>
      </c>
      <c r="F300" s="12">
        <v>145</v>
      </c>
      <c r="G300" s="12">
        <v>156.6</v>
      </c>
      <c r="H300" s="4">
        <f>SUM('Working Data'!X300,'Working Data'!AB300)</f>
        <v>317.89999999999998</v>
      </c>
      <c r="I300" s="4">
        <f>SUM('Working Data'!U300,'Working Data'!W300)</f>
        <v>311.7</v>
      </c>
      <c r="J300" s="4">
        <f>SUM('Working Data'!R300,'Working Data'!S300,'Working Data'!T300)</f>
        <v>450.79999999999995</v>
      </c>
      <c r="K300" s="4">
        <f>SUM('Working Data'!AC300,'Working Data'!Z300,'Working Data'!Q300)</f>
        <v>503.09999999999997</v>
      </c>
      <c r="L300" s="4">
        <v>159.5</v>
      </c>
    </row>
    <row r="301" spans="1:12" x14ac:dyDescent="0.3">
      <c r="A301" s="2" t="s">
        <v>34</v>
      </c>
      <c r="B301" s="2">
        <v>2021</v>
      </c>
      <c r="C301" s="2" t="s">
        <v>38</v>
      </c>
      <c r="D301">
        <f>SUM(Table13[[#This Row],[Cereals and products]:[Food and beverages]])</f>
        <v>2105.7000000000003</v>
      </c>
      <c r="E301" s="13">
        <v>159.4</v>
      </c>
      <c r="F301" s="13">
        <v>148.9</v>
      </c>
      <c r="G301" s="13">
        <v>161.19999999999999</v>
      </c>
      <c r="H301" s="4">
        <f>SUM('Working Data'!X301,'Working Data'!AB301)</f>
        <v>324.39999999999998</v>
      </c>
      <c r="I301" s="4">
        <f>SUM('Working Data'!U301,'Working Data'!W301)</f>
        <v>316.29999999999995</v>
      </c>
      <c r="J301" s="4">
        <f>SUM('Working Data'!R301,'Working Data'!S301,'Working Data'!T301)</f>
        <v>474.29999999999995</v>
      </c>
      <c r="K301" s="4">
        <f>SUM('Working Data'!AC301,'Working Data'!Z301,'Working Data'!Q301)</f>
        <v>504.5</v>
      </c>
      <c r="L301" s="4">
        <v>160.4</v>
      </c>
    </row>
    <row r="302" spans="1:12" hidden="1" x14ac:dyDescent="0.3">
      <c r="A302" s="1" t="s">
        <v>30</v>
      </c>
      <c r="B302" s="1">
        <v>2021</v>
      </c>
      <c r="C302" s="1" t="s">
        <v>39</v>
      </c>
      <c r="D302">
        <f>SUM(Table13[[#This Row],[Cereals and products]:[Food and beverages]])</f>
        <v>2122.6</v>
      </c>
      <c r="E302" s="12">
        <v>162.1</v>
      </c>
      <c r="F302" s="12">
        <v>154.19999999999999</v>
      </c>
      <c r="G302" s="12">
        <v>166.8</v>
      </c>
      <c r="H302" s="4">
        <f>SUM('Working Data'!X302,'Working Data'!AB302)</f>
        <v>329.1</v>
      </c>
      <c r="I302" s="4">
        <f>SUM('Working Data'!U302,'Working Data'!W302)</f>
        <v>319.7</v>
      </c>
      <c r="J302" s="4">
        <f>SUM('Working Data'!R302,'Working Data'!S302,'Working Data'!T302)</f>
        <v>489.80000000000007</v>
      </c>
      <c r="K302" s="4">
        <f>SUM('Working Data'!AC302,'Working Data'!Z302,'Working Data'!Q302)</f>
        <v>511</v>
      </c>
      <c r="L302" s="4">
        <v>162.1</v>
      </c>
    </row>
    <row r="303" spans="1:12" hidden="1" x14ac:dyDescent="0.3">
      <c r="A303" s="2" t="s">
        <v>33</v>
      </c>
      <c r="B303" s="2">
        <v>2021</v>
      </c>
      <c r="C303" s="2" t="s">
        <v>39</v>
      </c>
      <c r="D303">
        <f>SUM(Table13[[#This Row],[Cereals and products]:[Food and beverages]])</f>
        <v>2154.1999999999998</v>
      </c>
      <c r="E303" s="13">
        <v>156.1</v>
      </c>
      <c r="F303" s="13">
        <v>147.5</v>
      </c>
      <c r="G303" s="13">
        <v>158.1</v>
      </c>
      <c r="H303" s="4">
        <f>SUM('Working Data'!X303,'Working Data'!AB303)</f>
        <v>318.8</v>
      </c>
      <c r="I303" s="4">
        <f>SUM('Working Data'!U303,'Working Data'!W303)</f>
        <v>310.3</v>
      </c>
      <c r="J303" s="4">
        <f>SUM('Working Data'!R303,'Working Data'!S303,'Working Data'!T303)</f>
        <v>452.6</v>
      </c>
      <c r="K303" s="4">
        <f>SUM('Working Data'!AC303,'Working Data'!Z303,'Working Data'!Q303)</f>
        <v>499.70000000000005</v>
      </c>
      <c r="L303" s="4">
        <v>160.4</v>
      </c>
    </row>
    <row r="304" spans="1:12" x14ac:dyDescent="0.3">
      <c r="A304" s="1" t="s">
        <v>34</v>
      </c>
      <c r="B304" s="1">
        <v>2021</v>
      </c>
      <c r="C304" s="1" t="s">
        <v>39</v>
      </c>
      <c r="D304">
        <f>SUM(Table13[[#This Row],[Cereals and products]:[Food and beverages]])</f>
        <v>2133.9</v>
      </c>
      <c r="E304" s="12">
        <v>159.80000000000001</v>
      </c>
      <c r="F304" s="12">
        <v>150.69999999999999</v>
      </c>
      <c r="G304" s="12">
        <v>161.69999999999999</v>
      </c>
      <c r="H304" s="4">
        <f>SUM('Working Data'!X304,'Working Data'!AB304)</f>
        <v>325.10000000000002</v>
      </c>
      <c r="I304" s="4">
        <f>SUM('Working Data'!U304,'Working Data'!W304)</f>
        <v>315.3</v>
      </c>
      <c r="J304" s="4">
        <f>SUM('Working Data'!R304,'Working Data'!S304,'Working Data'!T304)</f>
        <v>474.7</v>
      </c>
      <c r="K304" s="4">
        <f>SUM('Working Data'!AC304,'Working Data'!Z304,'Working Data'!Q304)</f>
        <v>503.3</v>
      </c>
      <c r="L304" s="4">
        <v>161.30000000000001</v>
      </c>
    </row>
    <row r="305" spans="1:12" hidden="1" x14ac:dyDescent="0.3">
      <c r="A305" s="2" t="s">
        <v>30</v>
      </c>
      <c r="B305" s="2">
        <v>2021</v>
      </c>
      <c r="C305" s="2" t="s">
        <v>40</v>
      </c>
      <c r="D305">
        <f>SUM(Table13[[#This Row],[Cereals and products]:[Food and beverages]])</f>
        <v>2132.4</v>
      </c>
      <c r="E305" s="13">
        <v>162.5</v>
      </c>
      <c r="F305" s="13">
        <v>157.1</v>
      </c>
      <c r="G305" s="13">
        <v>167.2</v>
      </c>
      <c r="H305" s="4">
        <f>SUM('Working Data'!X305,'Working Data'!AB305)</f>
        <v>330.8</v>
      </c>
      <c r="I305" s="4">
        <f>SUM('Working Data'!U305,'Working Data'!W305)</f>
        <v>321.8</v>
      </c>
      <c r="J305" s="4">
        <f>SUM('Working Data'!R305,'Working Data'!S305,'Working Data'!T305)</f>
        <v>492.40000000000003</v>
      </c>
      <c r="K305" s="4">
        <f>SUM('Working Data'!AC305,'Working Data'!Z305,'Working Data'!Q305)</f>
        <v>513.20000000000005</v>
      </c>
      <c r="L305" s="4">
        <v>163.19999999999999</v>
      </c>
    </row>
    <row r="306" spans="1:12" hidden="1" x14ac:dyDescent="0.3">
      <c r="A306" s="1" t="s">
        <v>33</v>
      </c>
      <c r="B306" s="1">
        <v>2021</v>
      </c>
      <c r="C306" s="1" t="s">
        <v>40</v>
      </c>
      <c r="D306">
        <f>SUM(Table13[[#This Row],[Cereals and products]:[Food and beverages]])</f>
        <v>2171.8000000000002</v>
      </c>
      <c r="E306" s="12">
        <v>157.69999999999999</v>
      </c>
      <c r="F306" s="12">
        <v>149.5</v>
      </c>
      <c r="G306" s="12">
        <v>160.30000000000001</v>
      </c>
      <c r="H306" s="4">
        <f>SUM('Working Data'!X306,'Working Data'!AB306)</f>
        <v>321.10000000000002</v>
      </c>
      <c r="I306" s="4">
        <f>SUM('Working Data'!U306,'Working Data'!W306)</f>
        <v>312.2</v>
      </c>
      <c r="J306" s="4">
        <f>SUM('Working Data'!R306,'Working Data'!S306,'Working Data'!T306)</f>
        <v>455.3</v>
      </c>
      <c r="K306" s="4">
        <f>SUM('Working Data'!AC306,'Working Data'!Z306,'Working Data'!Q306)</f>
        <v>501.7</v>
      </c>
      <c r="L306" s="4">
        <v>161.80000000000001</v>
      </c>
    </row>
    <row r="307" spans="1:12" x14ac:dyDescent="0.3">
      <c r="A307" s="2" t="s">
        <v>34</v>
      </c>
      <c r="B307" s="2">
        <v>2021</v>
      </c>
      <c r="C307" s="2" t="s">
        <v>40</v>
      </c>
      <c r="D307">
        <f>SUM(Table13[[#This Row],[Cereals and products]:[Food and beverages]])</f>
        <v>2147</v>
      </c>
      <c r="E307" s="13">
        <v>160.69999999999999</v>
      </c>
      <c r="F307" s="13">
        <v>153.1</v>
      </c>
      <c r="G307" s="13">
        <v>163.19999999999999</v>
      </c>
      <c r="H307" s="4">
        <f>SUM('Working Data'!X307,'Working Data'!AB307)</f>
        <v>327.10000000000002</v>
      </c>
      <c r="I307" s="4">
        <f>SUM('Working Data'!U307,'Working Data'!W307)</f>
        <v>317.3</v>
      </c>
      <c r="J307" s="4">
        <f>SUM('Working Data'!R307,'Working Data'!S307,'Working Data'!T307)</f>
        <v>477.29999999999995</v>
      </c>
      <c r="K307" s="4">
        <f>SUM('Working Data'!AC307,'Working Data'!Z307,'Working Data'!Q307)</f>
        <v>505.5</v>
      </c>
      <c r="L307" s="4">
        <v>162.5</v>
      </c>
    </row>
    <row r="308" spans="1:12" hidden="1" x14ac:dyDescent="0.3">
      <c r="A308" s="1" t="s">
        <v>30</v>
      </c>
      <c r="B308" s="1">
        <v>2021</v>
      </c>
      <c r="C308" s="1" t="s">
        <v>41</v>
      </c>
      <c r="D308">
        <f>SUM(Table13[[#This Row],[Cereals and products]:[Food and beverages]])</f>
        <v>2130.8000000000002</v>
      </c>
      <c r="E308" s="12">
        <v>163.1</v>
      </c>
      <c r="F308" s="12">
        <v>157.69999999999999</v>
      </c>
      <c r="G308" s="12">
        <v>167.5</v>
      </c>
      <c r="H308" s="4">
        <f>SUM('Working Data'!X308,'Working Data'!AB308)</f>
        <v>331.4</v>
      </c>
      <c r="I308" s="4">
        <f>SUM('Working Data'!U308,'Working Data'!W308)</f>
        <v>323</v>
      </c>
      <c r="J308" s="4">
        <f>SUM('Working Data'!R308,'Working Data'!S308,'Working Data'!T308)</f>
        <v>495.90000000000003</v>
      </c>
      <c r="K308" s="4">
        <f>SUM('Working Data'!AC308,'Working Data'!Z308,'Working Data'!Q308)</f>
        <v>514.59999999999991</v>
      </c>
      <c r="L308" s="4">
        <v>163.6</v>
      </c>
    </row>
    <row r="309" spans="1:12" hidden="1" x14ac:dyDescent="0.3">
      <c r="A309" s="2" t="s">
        <v>33</v>
      </c>
      <c r="B309" s="2">
        <v>2021</v>
      </c>
      <c r="C309" s="2" t="s">
        <v>41</v>
      </c>
      <c r="D309">
        <f>SUM(Table13[[#This Row],[Cereals and products]:[Food and beverages]])</f>
        <v>2157.9</v>
      </c>
      <c r="E309" s="13">
        <v>160.69999999999999</v>
      </c>
      <c r="F309" s="13">
        <v>150.4</v>
      </c>
      <c r="G309" s="13">
        <v>160.4</v>
      </c>
      <c r="H309" s="4">
        <f>SUM('Working Data'!X309,'Working Data'!AB309)</f>
        <v>322.39999999999998</v>
      </c>
      <c r="I309" s="4">
        <f>SUM('Working Data'!U309,'Working Data'!W309)</f>
        <v>315.29999999999995</v>
      </c>
      <c r="J309" s="4">
        <f>SUM('Working Data'!R309,'Working Data'!S309,'Working Data'!T309)</f>
        <v>460.7</v>
      </c>
      <c r="K309" s="4">
        <f>SUM('Working Data'!AC309,'Working Data'!Z309,'Working Data'!Q309)</f>
        <v>506.2</v>
      </c>
      <c r="L309" s="4">
        <v>162.30000000000001</v>
      </c>
    </row>
    <row r="310" spans="1:12" x14ac:dyDescent="0.3">
      <c r="A310" s="1" t="s">
        <v>34</v>
      </c>
      <c r="B310" s="1">
        <v>2021</v>
      </c>
      <c r="C310" s="1" t="s">
        <v>41</v>
      </c>
      <c r="D310">
        <f>SUM(Table13[[#This Row],[Cereals and products]:[Food and beverages]])</f>
        <v>2142</v>
      </c>
      <c r="E310" s="12">
        <v>162.6</v>
      </c>
      <c r="F310" s="12">
        <v>154</v>
      </c>
      <c r="G310" s="12">
        <v>163.80000000000001</v>
      </c>
      <c r="H310" s="4">
        <f>SUM('Working Data'!X310,'Working Data'!AB310)</f>
        <v>328.4</v>
      </c>
      <c r="I310" s="4">
        <f>SUM('Working Data'!U310,'Working Data'!W310)</f>
        <v>319.60000000000002</v>
      </c>
      <c r="J310" s="4">
        <f>SUM('Working Data'!R310,'Working Data'!S310,'Working Data'!T310)</f>
        <v>483</v>
      </c>
      <c r="K310" s="4">
        <f>SUM('Working Data'!AC310,'Working Data'!Z310,'Working Data'!Q310)</f>
        <v>509.70000000000005</v>
      </c>
      <c r="L310" s="4">
        <v>163.19999999999999</v>
      </c>
    </row>
    <row r="311" spans="1:12" hidden="1" x14ac:dyDescent="0.3">
      <c r="A311" s="2" t="s">
        <v>30</v>
      </c>
      <c r="B311" s="2">
        <v>2021</v>
      </c>
      <c r="C311" s="2" t="s">
        <v>42</v>
      </c>
      <c r="D311">
        <f>SUM(Table13[[#This Row],[Cereals and products]:[Food and beverages]])</f>
        <v>2133.6</v>
      </c>
      <c r="E311" s="13">
        <v>163.69999999999999</v>
      </c>
      <c r="F311" s="13">
        <v>157.80000000000001</v>
      </c>
      <c r="G311" s="13">
        <v>168.5</v>
      </c>
      <c r="H311" s="4">
        <f>SUM('Working Data'!X311,'Working Data'!AB311)</f>
        <v>332.1</v>
      </c>
      <c r="I311" s="4">
        <f>SUM('Working Data'!U311,'Working Data'!W311)</f>
        <v>323.39999999999998</v>
      </c>
      <c r="J311" s="4">
        <f>SUM('Working Data'!R311,'Working Data'!S311,'Working Data'!T311)</f>
        <v>498.4</v>
      </c>
      <c r="K311" s="4">
        <f>SUM('Working Data'!AC311,'Working Data'!Z311,'Working Data'!Q311)</f>
        <v>517</v>
      </c>
      <c r="L311" s="4">
        <v>164</v>
      </c>
    </row>
    <row r="312" spans="1:12" hidden="1" x14ac:dyDescent="0.3">
      <c r="A312" s="1" t="s">
        <v>33</v>
      </c>
      <c r="B312" s="1">
        <v>2021</v>
      </c>
      <c r="C312" s="1" t="s">
        <v>42</v>
      </c>
      <c r="D312">
        <f>SUM(Table13[[#This Row],[Cereals and products]:[Food and beverages]])</f>
        <v>2157.9</v>
      </c>
      <c r="E312" s="12">
        <v>160.80000000000001</v>
      </c>
      <c r="F312" s="12">
        <v>150.5</v>
      </c>
      <c r="G312" s="12">
        <v>160.30000000000001</v>
      </c>
      <c r="H312" s="4">
        <f>SUM('Working Data'!X312,'Working Data'!AB312)</f>
        <v>322.39999999999998</v>
      </c>
      <c r="I312" s="4">
        <f>SUM('Working Data'!U312,'Working Data'!W312)</f>
        <v>315.39999999999998</v>
      </c>
      <c r="J312" s="4">
        <f>SUM('Working Data'!R312,'Working Data'!S312,'Working Data'!T312)</f>
        <v>460.79999999999995</v>
      </c>
      <c r="K312" s="4">
        <f>SUM('Working Data'!AC312,'Working Data'!Z312,'Working Data'!Q312)</f>
        <v>506.4</v>
      </c>
      <c r="L312" s="4">
        <v>162.30000000000001</v>
      </c>
    </row>
    <row r="313" spans="1:12" x14ac:dyDescent="0.3">
      <c r="A313" s="2" t="s">
        <v>34</v>
      </c>
      <c r="B313" s="2">
        <v>2021</v>
      </c>
      <c r="C313" s="2" t="s">
        <v>42</v>
      </c>
      <c r="D313">
        <f>SUM(Table13[[#This Row],[Cereals and products]:[Food and beverages]])</f>
        <v>2142</v>
      </c>
      <c r="E313" s="13">
        <v>162.6</v>
      </c>
      <c r="F313" s="13">
        <v>154</v>
      </c>
      <c r="G313" s="13">
        <v>163.69999999999999</v>
      </c>
      <c r="H313" s="4">
        <f>SUM('Working Data'!X313,'Working Data'!AB313)</f>
        <v>328.4</v>
      </c>
      <c r="I313" s="4">
        <f>SUM('Working Data'!U313,'Working Data'!W313)</f>
        <v>319.60000000000002</v>
      </c>
      <c r="J313" s="4">
        <f>SUM('Working Data'!R313,'Working Data'!S313,'Working Data'!T313)</f>
        <v>483.2</v>
      </c>
      <c r="K313" s="4">
        <f>SUM('Working Data'!AC313,'Working Data'!Z313,'Working Data'!Q313)</f>
        <v>509.79999999999995</v>
      </c>
      <c r="L313" s="4">
        <v>163.19999999999999</v>
      </c>
    </row>
    <row r="314" spans="1:12" hidden="1" x14ac:dyDescent="0.3">
      <c r="A314" s="1" t="s">
        <v>30</v>
      </c>
      <c r="B314" s="1">
        <v>2021</v>
      </c>
      <c r="C314" s="1" t="s">
        <v>43</v>
      </c>
      <c r="D314">
        <f>SUM(Table13[[#This Row],[Cereals and products]:[Food and beverages]])</f>
        <v>2164.1999999999998</v>
      </c>
      <c r="E314" s="12">
        <v>165.5</v>
      </c>
      <c r="F314" s="12">
        <v>159.5</v>
      </c>
      <c r="G314" s="12">
        <v>169</v>
      </c>
      <c r="H314" s="4">
        <f>SUM('Working Data'!X314,'Working Data'!AB314)</f>
        <v>333.6</v>
      </c>
      <c r="I314" s="4">
        <f>SUM('Working Data'!U314,'Working Data'!W314)</f>
        <v>325.60000000000002</v>
      </c>
      <c r="J314" s="4">
        <f>SUM('Working Data'!R314,'Working Data'!S314,'Working Data'!T314)</f>
        <v>502.00000000000006</v>
      </c>
      <c r="K314" s="4">
        <f>SUM('Working Data'!AC314,'Working Data'!Z314,'Working Data'!Q314)</f>
        <v>519.09999999999991</v>
      </c>
      <c r="L314" s="4">
        <v>166.3</v>
      </c>
    </row>
    <row r="315" spans="1:12" hidden="1" x14ac:dyDescent="0.3">
      <c r="A315" s="2" t="s">
        <v>33</v>
      </c>
      <c r="B315" s="2">
        <v>2021</v>
      </c>
      <c r="C315" s="2" t="s">
        <v>43</v>
      </c>
      <c r="D315">
        <f>SUM(Table13[[#This Row],[Cereals and products]:[Food and beverages]])</f>
        <v>2198.4000000000005</v>
      </c>
      <c r="E315" s="13">
        <v>162.19999999999999</v>
      </c>
      <c r="F315" s="13">
        <v>152.19999999999999</v>
      </c>
      <c r="G315" s="13">
        <v>160.30000000000001</v>
      </c>
      <c r="H315" s="4">
        <f>SUM('Working Data'!X315,'Working Data'!AB315)</f>
        <v>323.8</v>
      </c>
      <c r="I315" s="4">
        <f>SUM('Working Data'!U315,'Working Data'!W315)</f>
        <v>317.89999999999998</v>
      </c>
      <c r="J315" s="4">
        <f>SUM('Working Data'!R315,'Working Data'!S315,'Working Data'!T315)</f>
        <v>463.50000000000006</v>
      </c>
      <c r="K315" s="4">
        <f>SUM('Working Data'!AC315,'Working Data'!Z315,'Working Data'!Q315)</f>
        <v>509.1</v>
      </c>
      <c r="L315" s="4">
        <v>164.6</v>
      </c>
    </row>
    <row r="316" spans="1:12" x14ac:dyDescent="0.3">
      <c r="A316" s="1" t="s">
        <v>34</v>
      </c>
      <c r="B316" s="1">
        <v>2021</v>
      </c>
      <c r="C316" s="1" t="s">
        <v>43</v>
      </c>
      <c r="D316">
        <f>SUM(Table13[[#This Row],[Cereals and products]:[Food and beverages]])</f>
        <v>2175.5</v>
      </c>
      <c r="E316" s="12">
        <v>164.2</v>
      </c>
      <c r="F316" s="12">
        <v>155.69999999999999</v>
      </c>
      <c r="G316" s="12">
        <v>163.9</v>
      </c>
      <c r="H316" s="4">
        <f>SUM('Working Data'!X316,'Working Data'!AB316)</f>
        <v>329.9</v>
      </c>
      <c r="I316" s="4">
        <f>SUM('Working Data'!U316,'Working Data'!W316)</f>
        <v>322</v>
      </c>
      <c r="J316" s="4">
        <f>SUM('Working Data'!R316,'Working Data'!S316,'Working Data'!T316)</f>
        <v>486.3</v>
      </c>
      <c r="K316" s="4">
        <f>SUM('Working Data'!AC316,'Working Data'!Z316,'Working Data'!Q316)</f>
        <v>512.29999999999995</v>
      </c>
      <c r="L316" s="4">
        <v>165.5</v>
      </c>
    </row>
    <row r="317" spans="1:12" hidden="1" x14ac:dyDescent="0.3">
      <c r="A317" s="2" t="s">
        <v>30</v>
      </c>
      <c r="B317" s="2">
        <v>2021</v>
      </c>
      <c r="C317" s="2" t="s">
        <v>45</v>
      </c>
      <c r="D317">
        <f>SUM(Table13[[#This Row],[Cereals and products]:[Food and beverages]])</f>
        <v>2182</v>
      </c>
      <c r="E317" s="13">
        <v>165.3</v>
      </c>
      <c r="F317" s="13">
        <v>158.9</v>
      </c>
      <c r="G317" s="13">
        <v>169.3</v>
      </c>
      <c r="H317" s="4">
        <f>SUM('Working Data'!X317,'Working Data'!AB317)</f>
        <v>335.8</v>
      </c>
      <c r="I317" s="4">
        <f>SUM('Working Data'!U317,'Working Data'!W317)</f>
        <v>327.10000000000002</v>
      </c>
      <c r="J317" s="4">
        <f>SUM('Working Data'!R317,'Working Data'!S317,'Working Data'!T317)</f>
        <v>506.2</v>
      </c>
      <c r="K317" s="4">
        <f>SUM('Working Data'!AC317,'Working Data'!Z317,'Working Data'!Q317)</f>
        <v>520.4</v>
      </c>
      <c r="L317" s="4">
        <v>167.6</v>
      </c>
    </row>
    <row r="318" spans="1:12" hidden="1" x14ac:dyDescent="0.3">
      <c r="A318" s="1" t="s">
        <v>33</v>
      </c>
      <c r="B318" s="1">
        <v>2021</v>
      </c>
      <c r="C318" s="1" t="s">
        <v>45</v>
      </c>
      <c r="D318">
        <f>SUM(Table13[[#This Row],[Cereals and products]:[Food and beverages]])</f>
        <v>2217.8999999999996</v>
      </c>
      <c r="E318" s="12">
        <v>161.6</v>
      </c>
      <c r="F318" s="12">
        <v>151.19999999999999</v>
      </c>
      <c r="G318" s="12">
        <v>160.80000000000001</v>
      </c>
      <c r="H318" s="4">
        <f>SUM('Working Data'!X318,'Working Data'!AB318)</f>
        <v>326</v>
      </c>
      <c r="I318" s="4">
        <f>SUM('Working Data'!U318,'Working Data'!W318)</f>
        <v>319.39999999999998</v>
      </c>
      <c r="J318" s="4">
        <f>SUM('Working Data'!R318,'Working Data'!S318,'Working Data'!T318)</f>
        <v>467.3</v>
      </c>
      <c r="K318" s="4">
        <f>SUM('Working Data'!AC318,'Working Data'!Z318,'Working Data'!Q318)</f>
        <v>511</v>
      </c>
      <c r="L318" s="4">
        <v>165.6</v>
      </c>
    </row>
    <row r="319" spans="1:12" x14ac:dyDescent="0.3">
      <c r="A319" s="2" t="s">
        <v>34</v>
      </c>
      <c r="B319" s="2">
        <v>2021</v>
      </c>
      <c r="C319" s="2" t="s">
        <v>45</v>
      </c>
      <c r="D319">
        <f>SUM(Table13[[#This Row],[Cereals and products]:[Food and beverages]])</f>
        <v>2194.1</v>
      </c>
      <c r="E319" s="13">
        <v>163.9</v>
      </c>
      <c r="F319" s="13">
        <v>154.80000000000001</v>
      </c>
      <c r="G319" s="13">
        <v>164.3</v>
      </c>
      <c r="H319" s="4">
        <f>SUM('Working Data'!X319,'Working Data'!AB319)</f>
        <v>332.1</v>
      </c>
      <c r="I319" s="4">
        <f>SUM('Working Data'!U319,'Working Data'!W319)</f>
        <v>323.5</v>
      </c>
      <c r="J319" s="4">
        <f>SUM('Working Data'!R319,'Working Data'!S319,'Working Data'!T319)</f>
        <v>490.40000000000003</v>
      </c>
      <c r="K319" s="4">
        <f>SUM('Working Data'!AC319,'Working Data'!Z319,'Working Data'!Q319)</f>
        <v>514.1</v>
      </c>
      <c r="L319" s="4">
        <v>166.7</v>
      </c>
    </row>
    <row r="320" spans="1:12" hidden="1" x14ac:dyDescent="0.3">
      <c r="A320" s="1" t="s">
        <v>30</v>
      </c>
      <c r="B320" s="1">
        <v>2021</v>
      </c>
      <c r="C320" s="1" t="s">
        <v>46</v>
      </c>
      <c r="D320">
        <f>SUM(Table13[[#This Row],[Cereals and products]:[Food and beverages]])</f>
        <v>2168.1999999999998</v>
      </c>
      <c r="E320" s="12">
        <v>165.6</v>
      </c>
      <c r="F320" s="12">
        <v>160.1</v>
      </c>
      <c r="G320" s="12">
        <v>169.7</v>
      </c>
      <c r="H320" s="4">
        <f>SUM('Working Data'!X320,'Working Data'!AB320)</f>
        <v>336.8</v>
      </c>
      <c r="I320" s="4">
        <f>SUM('Working Data'!U320,'Working Data'!W320)</f>
        <v>327.3</v>
      </c>
      <c r="J320" s="4">
        <f>SUM('Working Data'!R320,'Working Data'!S320,'Working Data'!T320)</f>
        <v>510.3</v>
      </c>
      <c r="K320" s="4">
        <f>SUM('Working Data'!AC320,'Working Data'!Z320,'Working Data'!Q320)</f>
        <v>521.29999999999995</v>
      </c>
      <c r="L320" s="4">
        <v>167</v>
      </c>
    </row>
    <row r="321" spans="1:12" hidden="1" x14ac:dyDescent="0.3">
      <c r="A321" s="2" t="s">
        <v>33</v>
      </c>
      <c r="B321" s="2">
        <v>2021</v>
      </c>
      <c r="C321" s="2" t="s">
        <v>46</v>
      </c>
      <c r="D321">
        <f>SUM(Table13[[#This Row],[Cereals and products]:[Food and beverages]])</f>
        <v>2206.3000000000002</v>
      </c>
      <c r="E321" s="13">
        <v>161.69999999999999</v>
      </c>
      <c r="F321" s="13">
        <v>151.80000000000001</v>
      </c>
      <c r="G321" s="13">
        <v>160.6</v>
      </c>
      <c r="H321" s="4">
        <f>SUM('Working Data'!X321,'Working Data'!AB321)</f>
        <v>327.5</v>
      </c>
      <c r="I321" s="4">
        <f>SUM('Working Data'!U321,'Working Data'!W321)</f>
        <v>319.39999999999998</v>
      </c>
      <c r="J321" s="4">
        <f>SUM('Working Data'!R321,'Working Data'!S321,'Working Data'!T321)</f>
        <v>470.7</v>
      </c>
      <c r="K321" s="4">
        <f>SUM('Working Data'!AC321,'Working Data'!Z321,'Working Data'!Q321)</f>
        <v>512.20000000000005</v>
      </c>
      <c r="L321" s="4">
        <v>165.2</v>
      </c>
    </row>
    <row r="322" spans="1:12" x14ac:dyDescent="0.3">
      <c r="A322" s="1" t="s">
        <v>34</v>
      </c>
      <c r="B322" s="1">
        <v>2021</v>
      </c>
      <c r="C322" s="1" t="s">
        <v>46</v>
      </c>
      <c r="D322">
        <f>SUM(Table13[[#This Row],[Cereals and products]:[Food and beverages]])</f>
        <v>2180.9</v>
      </c>
      <c r="E322" s="12">
        <v>164.1</v>
      </c>
      <c r="F322" s="12">
        <v>155.69999999999999</v>
      </c>
      <c r="G322" s="12">
        <v>164.4</v>
      </c>
      <c r="H322" s="4">
        <f>SUM('Working Data'!X322,'Working Data'!AB322)</f>
        <v>333.2</v>
      </c>
      <c r="I322" s="4">
        <f>SUM('Working Data'!U322,'Working Data'!W322)</f>
        <v>323.60000000000002</v>
      </c>
      <c r="J322" s="4">
        <f>SUM('Working Data'!R322,'Working Data'!S322,'Working Data'!T322)</f>
        <v>494.2</v>
      </c>
      <c r="K322" s="4">
        <f>SUM('Working Data'!AC322,'Working Data'!Z322,'Working Data'!Q322)</f>
        <v>515</v>
      </c>
      <c r="L322" s="4">
        <v>166.2</v>
      </c>
    </row>
    <row r="323" spans="1:12" hidden="1" x14ac:dyDescent="0.3">
      <c r="A323" s="2" t="s">
        <v>30</v>
      </c>
      <c r="B323" s="2">
        <v>2022</v>
      </c>
      <c r="C323" s="2" t="s">
        <v>31</v>
      </c>
      <c r="D323">
        <f>SUM(Table13[[#This Row],[Cereals and products]:[Food and beverages]])</f>
        <v>2153</v>
      </c>
      <c r="E323" s="13">
        <v>165.8</v>
      </c>
      <c r="F323" s="13">
        <v>160.80000000000001</v>
      </c>
      <c r="G323" s="13">
        <v>169.9</v>
      </c>
      <c r="H323" s="4">
        <f>SUM('Working Data'!X323,'Working Data'!AB323)</f>
        <v>337.9</v>
      </c>
      <c r="I323" s="4">
        <f>SUM('Working Data'!U323,'Working Data'!W323)</f>
        <v>329.4</v>
      </c>
      <c r="J323" s="4">
        <f>SUM('Working Data'!R323,'Working Data'!S323,'Working Data'!T323)</f>
        <v>515.20000000000005</v>
      </c>
      <c r="K323" s="4">
        <f>SUM('Working Data'!AC323,'Working Data'!Z323,'Working Data'!Q323)</f>
        <v>522.20000000000005</v>
      </c>
      <c r="L323" s="4">
        <v>166.4</v>
      </c>
    </row>
    <row r="324" spans="1:12" hidden="1" x14ac:dyDescent="0.3">
      <c r="A324" s="1" t="s">
        <v>33</v>
      </c>
      <c r="B324" s="1">
        <v>2022</v>
      </c>
      <c r="C324" s="1" t="s">
        <v>31</v>
      </c>
      <c r="D324">
        <f>SUM(Table13[[#This Row],[Cereals and products]:[Food and beverages]])</f>
        <v>2186.6999999999998</v>
      </c>
      <c r="E324" s="12">
        <v>161.6</v>
      </c>
      <c r="F324" s="12">
        <v>152.69999999999999</v>
      </c>
      <c r="G324" s="12">
        <v>161</v>
      </c>
      <c r="H324" s="4">
        <f>SUM('Working Data'!X324,'Working Data'!AB324)</f>
        <v>328.9</v>
      </c>
      <c r="I324" s="4">
        <f>SUM('Working Data'!U324,'Working Data'!W324)</f>
        <v>321.3</v>
      </c>
      <c r="J324" s="4">
        <f>SUM('Working Data'!R324,'Working Data'!S324,'Working Data'!T324)</f>
        <v>475.4</v>
      </c>
      <c r="K324" s="4">
        <f>SUM('Working Data'!AC324,'Working Data'!Z324,'Working Data'!Q324)</f>
        <v>513.4</v>
      </c>
      <c r="L324" s="4">
        <v>165</v>
      </c>
    </row>
    <row r="325" spans="1:12" hidden="1" x14ac:dyDescent="0.3">
      <c r="A325" s="2" t="s">
        <v>34</v>
      </c>
      <c r="B325" s="2">
        <v>2022</v>
      </c>
      <c r="C325" s="2" t="s">
        <v>31</v>
      </c>
      <c r="D325">
        <f>SUM(Table13[[#This Row],[Cereals and products]:[Food and beverages]])</f>
        <v>2164.1999999999998</v>
      </c>
      <c r="E325" s="13">
        <v>164.2</v>
      </c>
      <c r="F325" s="13">
        <v>156.5</v>
      </c>
      <c r="G325" s="13">
        <v>164.7</v>
      </c>
      <c r="H325" s="4">
        <f>SUM('Working Data'!X325,'Working Data'!AB325)</f>
        <v>334.4</v>
      </c>
      <c r="I325" s="4">
        <f>SUM('Working Data'!U325,'Working Data'!W325)</f>
        <v>325.60000000000002</v>
      </c>
      <c r="J325" s="4">
        <f>SUM('Working Data'!R325,'Working Data'!S325,'Working Data'!T325)</f>
        <v>499.1</v>
      </c>
      <c r="K325" s="4">
        <f>SUM('Working Data'!AC325,'Working Data'!Z325,'Working Data'!Q325)</f>
        <v>516.09999999999991</v>
      </c>
      <c r="L325" s="4">
        <v>165.7</v>
      </c>
    </row>
    <row r="326" spans="1:12" hidden="1" x14ac:dyDescent="0.3">
      <c r="A326" s="1" t="s">
        <v>30</v>
      </c>
      <c r="B326" s="1">
        <v>2022</v>
      </c>
      <c r="C326" s="1" t="s">
        <v>35</v>
      </c>
      <c r="D326">
        <f>SUM(Table13[[#This Row],[Cereals and products]:[Food and beverages]])</f>
        <v>2150.4</v>
      </c>
      <c r="E326" s="12">
        <v>167.4</v>
      </c>
      <c r="F326" s="12">
        <v>161.19999999999999</v>
      </c>
      <c r="G326" s="12">
        <v>170.3</v>
      </c>
      <c r="H326" s="4">
        <f>SUM('Working Data'!X326,'Working Data'!AB326)</f>
        <v>339.8</v>
      </c>
      <c r="I326" s="4">
        <f>SUM('Working Data'!U326,'Working Data'!W326)</f>
        <v>331.2</v>
      </c>
      <c r="J326" s="4">
        <f>SUM('Working Data'!R326,'Working Data'!S326,'Working Data'!T326)</f>
        <v>518.79999999999995</v>
      </c>
      <c r="K326" s="4">
        <f>SUM('Working Data'!AC326,'Working Data'!Z326,'Working Data'!Q326)</f>
        <v>524.29999999999995</v>
      </c>
      <c r="L326" s="4">
        <v>166.7</v>
      </c>
    </row>
    <row r="327" spans="1:12" hidden="1" x14ac:dyDescent="0.3">
      <c r="A327" s="2" t="s">
        <v>33</v>
      </c>
      <c r="B327" s="2">
        <v>2022</v>
      </c>
      <c r="C327" s="2" t="s">
        <v>35</v>
      </c>
      <c r="D327">
        <f>SUM(Table13[[#This Row],[Cereals and products]:[Food and beverages]])</f>
        <v>2183.5</v>
      </c>
      <c r="E327" s="13">
        <v>163</v>
      </c>
      <c r="F327" s="13">
        <v>153.1</v>
      </c>
      <c r="G327" s="13">
        <v>162</v>
      </c>
      <c r="H327" s="4">
        <f>SUM('Working Data'!X327,'Working Data'!AB327)</f>
        <v>331.4</v>
      </c>
      <c r="I327" s="4">
        <f>SUM('Working Data'!U327,'Working Data'!W327)</f>
        <v>322.89999999999998</v>
      </c>
      <c r="J327" s="4">
        <f>SUM('Working Data'!R327,'Working Data'!S327,'Working Data'!T327)</f>
        <v>479.5</v>
      </c>
      <c r="K327" s="4">
        <f>SUM('Working Data'!AC327,'Working Data'!Z327,'Working Data'!Q327)</f>
        <v>515.4</v>
      </c>
      <c r="L327" s="4">
        <v>165.5</v>
      </c>
    </row>
    <row r="328" spans="1:12" hidden="1" x14ac:dyDescent="0.3">
      <c r="A328" s="1" t="s">
        <v>34</v>
      </c>
      <c r="B328" s="1">
        <v>2022</v>
      </c>
      <c r="C328" s="1" t="s">
        <v>35</v>
      </c>
      <c r="D328">
        <f>SUM(Table13[[#This Row],[Cereals and products]:[Food and beverages]])</f>
        <v>2161.2000000000003</v>
      </c>
      <c r="E328" s="12">
        <v>165.7</v>
      </c>
      <c r="F328" s="12">
        <v>156.9</v>
      </c>
      <c r="G328" s="12">
        <v>165.4</v>
      </c>
      <c r="H328" s="4">
        <f>SUM('Working Data'!X328,'Working Data'!AB328)</f>
        <v>336.6</v>
      </c>
      <c r="I328" s="4">
        <f>SUM('Working Data'!U328,'Working Data'!W328)</f>
        <v>327.3</v>
      </c>
      <c r="J328" s="4">
        <f>SUM('Working Data'!R328,'Working Data'!S328,'Working Data'!T328)</f>
        <v>502.80000000000007</v>
      </c>
      <c r="K328" s="4">
        <f>SUM('Working Data'!AC328,'Working Data'!Z328,'Working Data'!Q328)</f>
        <v>518.40000000000009</v>
      </c>
      <c r="L328" s="4">
        <v>166.1</v>
      </c>
    </row>
    <row r="329" spans="1:12" hidden="1" x14ac:dyDescent="0.3">
      <c r="A329" s="2" t="s">
        <v>30</v>
      </c>
      <c r="B329" s="2">
        <v>2022</v>
      </c>
      <c r="C329" s="2" t="s">
        <v>36</v>
      </c>
      <c r="D329">
        <f>SUM(Table13[[#This Row],[Cereals and products]:[Food and beverages]])</f>
        <v>2179.1000000000004</v>
      </c>
      <c r="E329" s="13">
        <v>168.9</v>
      </c>
      <c r="F329" s="13">
        <v>162</v>
      </c>
      <c r="G329" s="13">
        <v>170.6</v>
      </c>
      <c r="H329" s="4">
        <f>SUM('Working Data'!X329,'Working Data'!AB329)</f>
        <v>343.4</v>
      </c>
      <c r="I329" s="4">
        <f>SUM('Working Data'!U329,'Working Data'!W329)</f>
        <v>331.8</v>
      </c>
      <c r="J329" s="4">
        <f>SUM('Working Data'!R329,'Working Data'!S329,'Working Data'!T329)</f>
        <v>523.70000000000005</v>
      </c>
      <c r="K329" s="4">
        <f>SUM('Working Data'!AC329,'Working Data'!Z329,'Working Data'!Q329)</f>
        <v>527.20000000000005</v>
      </c>
      <c r="L329" s="4">
        <v>168.7</v>
      </c>
    </row>
    <row r="330" spans="1:12" hidden="1" x14ac:dyDescent="0.3">
      <c r="A330" s="1" t="s">
        <v>33</v>
      </c>
      <c r="B330" s="1">
        <v>2022</v>
      </c>
      <c r="C330" s="1" t="s">
        <v>36</v>
      </c>
      <c r="D330">
        <f>SUM(Table13[[#This Row],[Cereals and products]:[Food and beverages]])</f>
        <v>2196.3000000000002</v>
      </c>
      <c r="E330" s="12">
        <v>164.5</v>
      </c>
      <c r="F330" s="12">
        <v>154.19999999999999</v>
      </c>
      <c r="G330" s="12">
        <v>162.69999999999999</v>
      </c>
      <c r="H330" s="4">
        <f>SUM('Working Data'!X330,'Working Data'!AB330)</f>
        <v>335</v>
      </c>
      <c r="I330" s="4">
        <f>SUM('Working Data'!U330,'Working Data'!W330)</f>
        <v>323.89999999999998</v>
      </c>
      <c r="J330" s="4">
        <f>SUM('Working Data'!R330,'Working Data'!S330,'Working Data'!T330)</f>
        <v>484.6</v>
      </c>
      <c r="K330" s="4">
        <f>SUM('Working Data'!AC330,'Working Data'!Z330,'Working Data'!Q330)</f>
        <v>518.9</v>
      </c>
      <c r="L330" s="4">
        <v>166.5</v>
      </c>
    </row>
    <row r="331" spans="1:12" hidden="1" x14ac:dyDescent="0.3">
      <c r="A331" s="2" t="s">
        <v>34</v>
      </c>
      <c r="B331" s="2">
        <v>2022</v>
      </c>
      <c r="C331" s="2" t="s">
        <v>36</v>
      </c>
      <c r="D331">
        <f>SUM(Table13[[#This Row],[Cereals and products]:[Food and beverages]])</f>
        <v>2184.2000000000003</v>
      </c>
      <c r="E331" s="13">
        <v>167.2</v>
      </c>
      <c r="F331" s="13">
        <v>157.9</v>
      </c>
      <c r="G331" s="13">
        <v>166</v>
      </c>
      <c r="H331" s="4">
        <f>SUM('Working Data'!X331,'Working Data'!AB331)</f>
        <v>340.2</v>
      </c>
      <c r="I331" s="4">
        <f>SUM('Working Data'!U331,'Working Data'!W331)</f>
        <v>328.1</v>
      </c>
      <c r="J331" s="4">
        <f>SUM('Working Data'!R331,'Working Data'!S331,'Working Data'!T331)</f>
        <v>507.79999999999995</v>
      </c>
      <c r="K331" s="4">
        <f>SUM('Working Data'!AC331,'Working Data'!Z331,'Working Data'!Q331)</f>
        <v>521.59999999999991</v>
      </c>
      <c r="L331" s="4">
        <v>167.7</v>
      </c>
    </row>
    <row r="332" spans="1:12" hidden="1" x14ac:dyDescent="0.3">
      <c r="A332" s="1" t="s">
        <v>30</v>
      </c>
      <c r="B332" s="1">
        <v>2022</v>
      </c>
      <c r="C332" s="1" t="s">
        <v>37</v>
      </c>
      <c r="D332">
        <f>SUM(Table13[[#This Row],[Cereals and products]:[Food and beverages]])</f>
        <v>2206.6</v>
      </c>
      <c r="E332" s="12">
        <v>173.3</v>
      </c>
      <c r="F332" s="12">
        <v>166.2</v>
      </c>
      <c r="G332" s="12">
        <v>170.9</v>
      </c>
      <c r="H332" s="4">
        <f>SUM('Working Data'!X332,'Working Data'!AB332)</f>
        <v>346</v>
      </c>
      <c r="I332" s="4">
        <f>SUM('Working Data'!U332,'Working Data'!W332)</f>
        <v>334.7</v>
      </c>
      <c r="J332" s="4">
        <f>SUM('Working Data'!R332,'Working Data'!S332,'Working Data'!T332)</f>
        <v>529.70000000000005</v>
      </c>
      <c r="K332" s="4">
        <f>SUM('Working Data'!AC332,'Working Data'!Z332,'Working Data'!Q332)</f>
        <v>530.20000000000005</v>
      </c>
      <c r="L332" s="4">
        <v>170.8</v>
      </c>
    </row>
    <row r="333" spans="1:12" hidden="1" x14ac:dyDescent="0.3">
      <c r="A333" s="2" t="s">
        <v>33</v>
      </c>
      <c r="B333" s="2">
        <v>2022</v>
      </c>
      <c r="C333" s="2" t="s">
        <v>37</v>
      </c>
      <c r="D333">
        <f>SUM(Table13[[#This Row],[Cereals and products]:[Food and beverages]])</f>
        <v>2230.4</v>
      </c>
      <c r="E333" s="13">
        <v>170.5</v>
      </c>
      <c r="F333" s="13">
        <v>159.30000000000001</v>
      </c>
      <c r="G333" s="13">
        <v>164</v>
      </c>
      <c r="H333" s="4">
        <f>SUM('Working Data'!X333,'Working Data'!AB333)</f>
        <v>337.4</v>
      </c>
      <c r="I333" s="4">
        <f>SUM('Working Data'!U333,'Working Data'!W333)</f>
        <v>326.8</v>
      </c>
      <c r="J333" s="4">
        <f>SUM('Working Data'!R333,'Working Data'!S333,'Working Data'!T333)</f>
        <v>489.2</v>
      </c>
      <c r="K333" s="4">
        <f>SUM('Working Data'!AC333,'Working Data'!Z333,'Working Data'!Q333)</f>
        <v>522.4</v>
      </c>
      <c r="L333" s="4">
        <v>169.2</v>
      </c>
    </row>
    <row r="334" spans="1:12" hidden="1" x14ac:dyDescent="0.3">
      <c r="A334" s="1" t="s">
        <v>34</v>
      </c>
      <c r="B334" s="1">
        <v>2022</v>
      </c>
      <c r="C334" s="1" t="s">
        <v>37</v>
      </c>
      <c r="D334">
        <f>SUM(Table13[[#This Row],[Cereals and products]:[Food and beverages]])</f>
        <v>2214.3000000000002</v>
      </c>
      <c r="E334" s="12">
        <v>172.2</v>
      </c>
      <c r="F334" s="12">
        <v>162.6</v>
      </c>
      <c r="G334" s="12">
        <v>166.9</v>
      </c>
      <c r="H334" s="4">
        <f>SUM('Working Data'!X334,'Working Data'!AB334)</f>
        <v>342.8</v>
      </c>
      <c r="I334" s="4">
        <f>SUM('Working Data'!U334,'Working Data'!W334)</f>
        <v>331</v>
      </c>
      <c r="J334" s="4">
        <f>SUM('Working Data'!R334,'Working Data'!S334,'Working Data'!T334)</f>
        <v>513.20000000000005</v>
      </c>
      <c r="K334" s="4">
        <f>SUM('Working Data'!AC334,'Working Data'!Z334,'Working Data'!Q334)</f>
        <v>525.1</v>
      </c>
      <c r="L334" s="4">
        <v>170.1</v>
      </c>
    </row>
    <row r="335" spans="1:12" hidden="1" x14ac:dyDescent="0.3">
      <c r="A335" s="2" t="s">
        <v>30</v>
      </c>
      <c r="B335" s="2">
        <v>2022</v>
      </c>
      <c r="C335" s="2" t="s">
        <v>38</v>
      </c>
      <c r="D335">
        <f>SUM(Table13[[#This Row],[Cereals and products]:[Food and beverages]])</f>
        <v>2226.8000000000002</v>
      </c>
      <c r="E335" s="13">
        <v>175.3</v>
      </c>
      <c r="F335" s="13">
        <v>167.1</v>
      </c>
      <c r="G335" s="13">
        <v>171.8</v>
      </c>
      <c r="H335" s="4">
        <f>SUM('Working Data'!X335,'Working Data'!AB335)</f>
        <v>346.2</v>
      </c>
      <c r="I335" s="4">
        <f>SUM('Working Data'!U335,'Working Data'!W335)</f>
        <v>336.4</v>
      </c>
      <c r="J335" s="4">
        <f>SUM('Working Data'!R335,'Working Data'!S335,'Working Data'!T335)</f>
        <v>535.5</v>
      </c>
      <c r="K335" s="4">
        <f>SUM('Working Data'!AC335,'Working Data'!Z335,'Working Data'!Q335)</f>
        <v>531.4</v>
      </c>
      <c r="L335" s="4">
        <v>172.5</v>
      </c>
    </row>
    <row r="336" spans="1:12" hidden="1" x14ac:dyDescent="0.3">
      <c r="A336" s="1" t="s">
        <v>33</v>
      </c>
      <c r="B336" s="1">
        <v>2022</v>
      </c>
      <c r="C336" s="1" t="s">
        <v>38</v>
      </c>
      <c r="D336">
        <f>SUM(Table13[[#This Row],[Cereals and products]:[Food and beverages]])</f>
        <v>2262.2000000000003</v>
      </c>
      <c r="E336" s="12">
        <v>173.5</v>
      </c>
      <c r="F336" s="12">
        <v>159.4</v>
      </c>
      <c r="G336" s="12">
        <v>165.2</v>
      </c>
      <c r="H336" s="4">
        <f>SUM('Working Data'!X336,'Working Data'!AB336)</f>
        <v>338.29999999999995</v>
      </c>
      <c r="I336" s="4">
        <f>SUM('Working Data'!U336,'Working Data'!W336)</f>
        <v>328.6</v>
      </c>
      <c r="J336" s="4">
        <f>SUM('Working Data'!R336,'Working Data'!S336,'Working Data'!T336)</f>
        <v>493.7</v>
      </c>
      <c r="K336" s="4">
        <f>SUM('Working Data'!AC336,'Working Data'!Z336,'Working Data'!Q336)</f>
        <v>524.5</v>
      </c>
      <c r="L336" s="4">
        <v>170.8</v>
      </c>
    </row>
    <row r="337" spans="1:12" hidden="1" x14ac:dyDescent="0.3">
      <c r="A337" s="2" t="s">
        <v>34</v>
      </c>
      <c r="B337" s="2">
        <v>2022</v>
      </c>
      <c r="C337" s="2" t="s">
        <v>38</v>
      </c>
      <c r="D337">
        <f>SUM(Table13[[#This Row],[Cereals and products]:[Food and beverages]])</f>
        <v>2238.9000000000005</v>
      </c>
      <c r="E337" s="13">
        <v>174.6</v>
      </c>
      <c r="F337" s="13">
        <v>163</v>
      </c>
      <c r="G337" s="13">
        <v>167.9</v>
      </c>
      <c r="H337" s="4">
        <f>SUM('Working Data'!X337,'Working Data'!AB337)</f>
        <v>343.20000000000005</v>
      </c>
      <c r="I337" s="4">
        <f>SUM('Working Data'!U337,'Working Data'!W337)</f>
        <v>332.7</v>
      </c>
      <c r="J337" s="4">
        <f>SUM('Working Data'!R337,'Working Data'!S337,'Working Data'!T337)</f>
        <v>518.6</v>
      </c>
      <c r="K337" s="4">
        <f>SUM('Working Data'!AC337,'Working Data'!Z337,'Working Data'!Q337)</f>
        <v>526.70000000000005</v>
      </c>
      <c r="L337" s="4">
        <v>171.7</v>
      </c>
    </row>
    <row r="338" spans="1:12" hidden="1" x14ac:dyDescent="0.3">
      <c r="A338" s="1" t="s">
        <v>30</v>
      </c>
      <c r="B338" s="1">
        <v>2022</v>
      </c>
      <c r="C338" s="1" t="s">
        <v>39</v>
      </c>
      <c r="D338">
        <f>SUM(Table13[[#This Row],[Cereals and products]:[Food and beverages]])</f>
        <v>2248.3000000000002</v>
      </c>
      <c r="E338" s="12">
        <v>176.7</v>
      </c>
      <c r="F338" s="12">
        <v>165.5</v>
      </c>
      <c r="G338" s="12">
        <v>172.6</v>
      </c>
      <c r="H338" s="4">
        <f>SUM('Working Data'!X338,'Working Data'!AB338)</f>
        <v>347.7</v>
      </c>
      <c r="I338" s="4">
        <f>SUM('Working Data'!U338,'Working Data'!W338)</f>
        <v>337.1</v>
      </c>
      <c r="J338" s="4">
        <f>SUM('Working Data'!R338,'Working Data'!S338,'Working Data'!T338)</f>
        <v>539.79999999999995</v>
      </c>
      <c r="K338" s="4">
        <f>SUM('Working Data'!AC338,'Working Data'!Z338,'Working Data'!Q338)</f>
        <v>531.9</v>
      </c>
      <c r="L338" s="4">
        <v>173.6</v>
      </c>
    </row>
    <row r="339" spans="1:12" hidden="1" x14ac:dyDescent="0.3">
      <c r="A339" s="2" t="s">
        <v>33</v>
      </c>
      <c r="B339" s="2">
        <v>2022</v>
      </c>
      <c r="C339" s="2" t="s">
        <v>39</v>
      </c>
      <c r="D339">
        <f>SUM(Table13[[#This Row],[Cereals and products]:[Food and beverages]])</f>
        <v>2287.5</v>
      </c>
      <c r="E339" s="13">
        <v>174.9</v>
      </c>
      <c r="F339" s="13">
        <v>157.19999999999999</v>
      </c>
      <c r="G339" s="13">
        <v>166.5</v>
      </c>
      <c r="H339" s="4">
        <f>SUM('Working Data'!X339,'Working Data'!AB339)</f>
        <v>340.1</v>
      </c>
      <c r="I339" s="4">
        <f>SUM('Working Data'!U339,'Working Data'!W339)</f>
        <v>328.9</v>
      </c>
      <c r="J339" s="4">
        <f>SUM('Working Data'!R339,'Working Data'!S339,'Working Data'!T339)</f>
        <v>498.4</v>
      </c>
      <c r="K339" s="4">
        <f>SUM('Working Data'!AC339,'Working Data'!Z339,'Working Data'!Q339)</f>
        <v>526.20000000000005</v>
      </c>
      <c r="L339" s="4">
        <v>171.4</v>
      </c>
    </row>
    <row r="340" spans="1:12" hidden="1" x14ac:dyDescent="0.3">
      <c r="A340" s="1" t="s">
        <v>34</v>
      </c>
      <c r="B340" s="1">
        <v>2022</v>
      </c>
      <c r="C340" s="1" t="s">
        <v>39</v>
      </c>
      <c r="D340">
        <f>SUM(Table13[[#This Row],[Cereals and products]:[Food and beverages]])</f>
        <v>2261.9</v>
      </c>
      <c r="E340" s="12">
        <v>176</v>
      </c>
      <c r="F340" s="12">
        <v>161.1</v>
      </c>
      <c r="G340" s="12">
        <v>169</v>
      </c>
      <c r="H340" s="4">
        <f>SUM('Working Data'!X340,'Working Data'!AB340)</f>
        <v>344.8</v>
      </c>
      <c r="I340" s="4">
        <f>SUM('Working Data'!U340,'Working Data'!W340)</f>
        <v>333.20000000000005</v>
      </c>
      <c r="J340" s="4">
        <f>SUM('Working Data'!R340,'Working Data'!S340,'Working Data'!T340)</f>
        <v>523</v>
      </c>
      <c r="K340" s="4">
        <f>SUM('Working Data'!AC340,'Working Data'!Z340,'Working Data'!Q340)</f>
        <v>527.6</v>
      </c>
      <c r="L340" s="4">
        <v>172.6</v>
      </c>
    </row>
    <row r="341" spans="1:12" hidden="1" x14ac:dyDescent="0.3">
      <c r="A341" s="2" t="s">
        <v>30</v>
      </c>
      <c r="B341" s="2">
        <v>2022</v>
      </c>
      <c r="C341" s="2" t="s">
        <v>40</v>
      </c>
      <c r="D341">
        <f>SUM(Table13[[#This Row],[Cereals and products]:[Food and beverages]])</f>
        <v>2252.5</v>
      </c>
      <c r="E341" s="13">
        <v>179.6</v>
      </c>
      <c r="F341" s="13">
        <v>166.3</v>
      </c>
      <c r="G341" s="13">
        <v>174.7</v>
      </c>
      <c r="H341" s="4">
        <f>SUM('Working Data'!X341,'Working Data'!AB341)</f>
        <v>348.5</v>
      </c>
      <c r="I341" s="4">
        <f>SUM('Working Data'!U341,'Working Data'!W341)</f>
        <v>339.1</v>
      </c>
      <c r="J341" s="4">
        <f>SUM('Working Data'!R341,'Working Data'!S341,'Working Data'!T341)</f>
        <v>544</v>
      </c>
      <c r="K341" s="4">
        <f>SUM('Working Data'!AC341,'Working Data'!Z341,'Working Data'!Q341)</f>
        <v>533.59999999999991</v>
      </c>
      <c r="L341" s="4">
        <v>174.3</v>
      </c>
    </row>
    <row r="342" spans="1:12" hidden="1" x14ac:dyDescent="0.3">
      <c r="A342" s="1" t="s">
        <v>33</v>
      </c>
      <c r="B342" s="1">
        <v>2022</v>
      </c>
      <c r="C342" s="1" t="s">
        <v>40</v>
      </c>
      <c r="D342">
        <f>SUM(Table13[[#This Row],[Cereals and products]:[Food and beverages]])</f>
        <v>2291.6</v>
      </c>
      <c r="E342" s="12">
        <v>179.5</v>
      </c>
      <c r="F342" s="12">
        <v>157.4</v>
      </c>
      <c r="G342" s="12">
        <v>169.1</v>
      </c>
      <c r="H342" s="4">
        <f>SUM('Working Data'!X342,'Working Data'!AB342)</f>
        <v>341.5</v>
      </c>
      <c r="I342" s="4">
        <f>SUM('Working Data'!U342,'Working Data'!W342)</f>
        <v>330.9</v>
      </c>
      <c r="J342" s="4">
        <f>SUM('Working Data'!R342,'Working Data'!S342,'Working Data'!T342)</f>
        <v>502</v>
      </c>
      <c r="K342" s="4">
        <f>SUM('Working Data'!AC342,'Working Data'!Z342,'Working Data'!Q342)</f>
        <v>527.9</v>
      </c>
      <c r="L342" s="4">
        <v>172.3</v>
      </c>
    </row>
    <row r="343" spans="1:12" hidden="1" x14ac:dyDescent="0.3">
      <c r="A343" s="2" t="s">
        <v>34</v>
      </c>
      <c r="B343" s="2">
        <v>2022</v>
      </c>
      <c r="C343" s="2" t="s">
        <v>40</v>
      </c>
      <c r="D343">
        <f>SUM(Table13[[#This Row],[Cereals and products]:[Food and beverages]])</f>
        <v>2266.3000000000002</v>
      </c>
      <c r="E343" s="13">
        <v>179.6</v>
      </c>
      <c r="F343" s="13">
        <v>161.6</v>
      </c>
      <c r="G343" s="13">
        <v>171.4</v>
      </c>
      <c r="H343" s="4">
        <f>SUM('Working Data'!X343,'Working Data'!AB343)</f>
        <v>345.79999999999995</v>
      </c>
      <c r="I343" s="4">
        <f>SUM('Working Data'!U343,'Working Data'!W343)</f>
        <v>335.20000000000005</v>
      </c>
      <c r="J343" s="4">
        <f>SUM('Working Data'!R343,'Working Data'!S343,'Working Data'!T343)</f>
        <v>526.90000000000009</v>
      </c>
      <c r="K343" s="4">
        <f>SUM('Working Data'!AC343,'Working Data'!Z343,'Working Data'!Q343)</f>
        <v>529.30000000000007</v>
      </c>
      <c r="L343" s="4">
        <v>173.4</v>
      </c>
    </row>
    <row r="344" spans="1:12" hidden="1" x14ac:dyDescent="0.3">
      <c r="A344" s="1" t="s">
        <v>30</v>
      </c>
      <c r="B344" s="1">
        <v>2022</v>
      </c>
      <c r="C344" s="1" t="s">
        <v>41</v>
      </c>
      <c r="D344">
        <f>SUM(Table13[[#This Row],[Cereals and products]:[Food and beverages]])</f>
        <v>2255.7999999999997</v>
      </c>
      <c r="E344" s="12">
        <v>179.1</v>
      </c>
      <c r="F344" s="12">
        <v>166.6</v>
      </c>
      <c r="G344" s="12">
        <v>175.7</v>
      </c>
      <c r="H344" s="4">
        <f>SUM('Working Data'!X344,'Working Data'!AB344)</f>
        <v>350.5</v>
      </c>
      <c r="I344" s="4">
        <f>SUM('Working Data'!U344,'Working Data'!W344)</f>
        <v>341.3</v>
      </c>
      <c r="J344" s="4">
        <f>SUM('Working Data'!R344,'Working Data'!S344,'Working Data'!T344)</f>
        <v>547.9</v>
      </c>
      <c r="K344" s="4">
        <f>SUM('Working Data'!AC344,'Working Data'!Z344,'Working Data'!Q344)</f>
        <v>535.59999999999991</v>
      </c>
      <c r="L344" s="4">
        <v>175.3</v>
      </c>
    </row>
    <row r="345" spans="1:12" hidden="1" x14ac:dyDescent="0.3">
      <c r="A345" s="2" t="s">
        <v>33</v>
      </c>
      <c r="B345" s="2">
        <v>2022</v>
      </c>
      <c r="C345" s="2" t="s">
        <v>41</v>
      </c>
      <c r="D345">
        <f>SUM(Table13[[#This Row],[Cereals and products]:[Food and beverages]])</f>
        <v>2293.6999999999998</v>
      </c>
      <c r="E345" s="13">
        <v>178.4</v>
      </c>
      <c r="F345" s="13">
        <v>157.69999999999999</v>
      </c>
      <c r="G345" s="13">
        <v>169.9</v>
      </c>
      <c r="H345" s="4">
        <f>SUM('Working Data'!X345,'Working Data'!AB345)</f>
        <v>344</v>
      </c>
      <c r="I345" s="4">
        <f>SUM('Working Data'!U345,'Working Data'!W345)</f>
        <v>333.2</v>
      </c>
      <c r="J345" s="4">
        <f>SUM('Working Data'!R345,'Working Data'!S345,'Working Data'!T345)</f>
        <v>505.29999999999995</v>
      </c>
      <c r="K345" s="4">
        <f>SUM('Working Data'!AC345,'Working Data'!Z345,'Working Data'!Q345)</f>
        <v>529.20000000000005</v>
      </c>
      <c r="L345" s="4">
        <v>173.1</v>
      </c>
    </row>
    <row r="346" spans="1:12" hidden="1" x14ac:dyDescent="0.3">
      <c r="A346" s="1" t="s">
        <v>34</v>
      </c>
      <c r="B346" s="1">
        <v>2022</v>
      </c>
      <c r="C346" s="1" t="s">
        <v>41</v>
      </c>
      <c r="D346">
        <f>SUM(Table13[[#This Row],[Cereals and products]:[Food and beverages]])</f>
        <v>2269.2000000000003</v>
      </c>
      <c r="E346" s="12">
        <v>178.8</v>
      </c>
      <c r="F346" s="12">
        <v>161.9</v>
      </c>
      <c r="G346" s="12">
        <v>172.3</v>
      </c>
      <c r="H346" s="4">
        <f>SUM('Working Data'!X346,'Working Data'!AB346)</f>
        <v>348</v>
      </c>
      <c r="I346" s="4">
        <f>SUM('Working Data'!U346,'Working Data'!W346)</f>
        <v>337.5</v>
      </c>
      <c r="J346" s="4">
        <f>SUM('Working Data'!R346,'Working Data'!S346,'Working Data'!T346)</f>
        <v>530.70000000000005</v>
      </c>
      <c r="K346" s="4">
        <f>SUM('Working Data'!AC346,'Working Data'!Z346,'Working Data'!Q346)</f>
        <v>531</v>
      </c>
      <c r="L346" s="4">
        <v>174.3</v>
      </c>
    </row>
    <row r="347" spans="1:12" hidden="1" x14ac:dyDescent="0.3">
      <c r="A347" s="2" t="s">
        <v>30</v>
      </c>
      <c r="B347" s="2">
        <v>2022</v>
      </c>
      <c r="C347" s="2" t="s">
        <v>42</v>
      </c>
      <c r="D347">
        <f>SUM(Table13[[#This Row],[Cereals and products]:[Food and beverages]])</f>
        <v>2267.8000000000002</v>
      </c>
      <c r="E347" s="13">
        <v>179.7</v>
      </c>
      <c r="F347" s="13">
        <v>166.9</v>
      </c>
      <c r="G347" s="13">
        <v>176.2</v>
      </c>
      <c r="H347" s="4">
        <f>SUM('Working Data'!X347,'Working Data'!AB347)</f>
        <v>351</v>
      </c>
      <c r="I347" s="4">
        <f>SUM('Working Data'!U347,'Working Data'!W347)</f>
        <v>343.1</v>
      </c>
      <c r="J347" s="4">
        <f>SUM('Working Data'!R347,'Working Data'!S347,'Working Data'!T347)</f>
        <v>552.5</v>
      </c>
      <c r="K347" s="4">
        <f>SUM('Working Data'!AC347,'Working Data'!Z347,'Working Data'!Q347)</f>
        <v>537.6</v>
      </c>
      <c r="L347" s="4">
        <v>176.4</v>
      </c>
    </row>
    <row r="348" spans="1:12" hidden="1" x14ac:dyDescent="0.3">
      <c r="A348" s="1" t="s">
        <v>33</v>
      </c>
      <c r="B348" s="1">
        <v>2022</v>
      </c>
      <c r="C348" s="1" t="s">
        <v>42</v>
      </c>
      <c r="D348">
        <f>SUM(Table13[[#This Row],[Cereals and products]:[Food and beverages]])</f>
        <v>2306.4</v>
      </c>
      <c r="E348" s="12">
        <v>179.2</v>
      </c>
      <c r="F348" s="12">
        <v>158.19999999999999</v>
      </c>
      <c r="G348" s="12">
        <v>170.9</v>
      </c>
      <c r="H348" s="4">
        <f>SUM('Working Data'!X348,'Working Data'!AB348)</f>
        <v>344.9</v>
      </c>
      <c r="I348" s="4">
        <f>SUM('Working Data'!U348,'Working Data'!W348)</f>
        <v>334.5</v>
      </c>
      <c r="J348" s="4">
        <f>SUM('Working Data'!R348,'Working Data'!S348,'Working Data'!T348)</f>
        <v>509.7</v>
      </c>
      <c r="K348" s="4">
        <f>SUM('Working Data'!AC348,'Working Data'!Z348,'Working Data'!Q348)</f>
        <v>531.59999999999991</v>
      </c>
      <c r="L348" s="4">
        <v>174.1</v>
      </c>
    </row>
    <row r="349" spans="1:12" hidden="1" x14ac:dyDescent="0.3">
      <c r="A349" s="2" t="s">
        <v>34</v>
      </c>
      <c r="B349" s="2">
        <v>2022</v>
      </c>
      <c r="C349" s="2" t="s">
        <v>42</v>
      </c>
      <c r="D349">
        <f>SUM(Table13[[#This Row],[Cereals and products]:[Food and beverages]])</f>
        <v>2280.9</v>
      </c>
      <c r="E349" s="13">
        <v>179.5</v>
      </c>
      <c r="F349" s="13">
        <v>162.30000000000001</v>
      </c>
      <c r="G349" s="13">
        <v>173.1</v>
      </c>
      <c r="H349" s="4">
        <f>SUM('Working Data'!X349,'Working Data'!AB349)</f>
        <v>348.70000000000005</v>
      </c>
      <c r="I349" s="4">
        <f>SUM('Working Data'!U349,'Working Data'!W349)</f>
        <v>339</v>
      </c>
      <c r="J349" s="4">
        <f>SUM('Working Data'!R349,'Working Data'!S349,'Working Data'!T349)</f>
        <v>535.1</v>
      </c>
      <c r="K349" s="4">
        <f>SUM('Working Data'!AC349,'Working Data'!Z349,'Working Data'!Q349)</f>
        <v>533.19999999999993</v>
      </c>
      <c r="L349" s="4">
        <v>175.3</v>
      </c>
    </row>
    <row r="350" spans="1:12" hidden="1" x14ac:dyDescent="0.3">
      <c r="A350" s="1" t="s">
        <v>30</v>
      </c>
      <c r="B350" s="1">
        <v>2022</v>
      </c>
      <c r="C350" s="1" t="s">
        <v>43</v>
      </c>
      <c r="D350">
        <f>SUM(Table13[[#This Row],[Cereals and products]:[Food and beverages]])</f>
        <v>2284.5</v>
      </c>
      <c r="E350" s="12">
        <v>180.8</v>
      </c>
      <c r="F350" s="12">
        <v>167.4</v>
      </c>
      <c r="G350" s="12">
        <v>176.5</v>
      </c>
      <c r="H350" s="4">
        <f>SUM('Working Data'!X350,'Working Data'!AB350)</f>
        <v>353.2</v>
      </c>
      <c r="I350" s="4">
        <f>SUM('Working Data'!U350,'Working Data'!W350)</f>
        <v>345.6</v>
      </c>
      <c r="J350" s="4">
        <f>SUM('Working Data'!R350,'Working Data'!S350,'Working Data'!T350)</f>
        <v>556.4</v>
      </c>
      <c r="K350" s="4">
        <f>SUM('Working Data'!AC350,'Working Data'!Z350,'Working Data'!Q350)</f>
        <v>539.4</v>
      </c>
      <c r="L350" s="4">
        <v>177.9</v>
      </c>
    </row>
    <row r="351" spans="1:12" hidden="1" x14ac:dyDescent="0.3">
      <c r="A351" s="2" t="s">
        <v>33</v>
      </c>
      <c r="B351" s="2">
        <v>2022</v>
      </c>
      <c r="C351" s="2" t="s">
        <v>43</v>
      </c>
      <c r="D351">
        <f>SUM(Table13[[#This Row],[Cereals and products]:[Food and beverages]])</f>
        <v>2322.3000000000002</v>
      </c>
      <c r="E351" s="13">
        <v>180</v>
      </c>
      <c r="F351" s="13">
        <v>158.80000000000001</v>
      </c>
      <c r="G351" s="13">
        <v>171.2</v>
      </c>
      <c r="H351" s="4">
        <f>SUM('Working Data'!X351,'Working Data'!AB351)</f>
        <v>347</v>
      </c>
      <c r="I351" s="4">
        <f>SUM('Working Data'!U351,'Working Data'!W351)</f>
        <v>337.2</v>
      </c>
      <c r="J351" s="4">
        <f>SUM('Working Data'!R351,'Working Data'!S351,'Working Data'!T351)</f>
        <v>511.70000000000005</v>
      </c>
      <c r="K351" s="4">
        <f>SUM('Working Data'!AC351,'Working Data'!Z351,'Working Data'!Q351)</f>
        <v>533.20000000000005</v>
      </c>
      <c r="L351" s="4">
        <v>175.3</v>
      </c>
    </row>
    <row r="352" spans="1:12" hidden="1" x14ac:dyDescent="0.3">
      <c r="A352" s="1" t="s">
        <v>34</v>
      </c>
      <c r="B352" s="1">
        <v>2022</v>
      </c>
      <c r="C352" s="1" t="s">
        <v>43</v>
      </c>
      <c r="D352">
        <f>SUM(Table13[[#This Row],[Cereals and products]:[Food and beverages]])</f>
        <v>2297.3000000000002</v>
      </c>
      <c r="E352" s="12">
        <v>180.5</v>
      </c>
      <c r="F352" s="12">
        <v>162.9</v>
      </c>
      <c r="G352" s="12">
        <v>173.4</v>
      </c>
      <c r="H352" s="4">
        <f>SUM('Working Data'!X352,'Working Data'!AB352)</f>
        <v>350.79999999999995</v>
      </c>
      <c r="I352" s="4">
        <f>SUM('Working Data'!U352,'Working Data'!W352)</f>
        <v>341.6</v>
      </c>
      <c r="J352" s="4">
        <f>SUM('Working Data'!R352,'Working Data'!S352,'Working Data'!T352)</f>
        <v>538.20000000000005</v>
      </c>
      <c r="K352" s="4">
        <f>SUM('Working Data'!AC352,'Working Data'!Z352,'Working Data'!Q352)</f>
        <v>535</v>
      </c>
      <c r="L352" s="4">
        <v>176.7</v>
      </c>
    </row>
    <row r="353" spans="1:12" hidden="1" x14ac:dyDescent="0.3">
      <c r="A353" s="2" t="s">
        <v>30</v>
      </c>
      <c r="B353" s="2">
        <v>2022</v>
      </c>
      <c r="C353" s="2" t="s">
        <v>45</v>
      </c>
      <c r="D353">
        <f>SUM(Table13[[#This Row],[Cereals and products]:[Food and beverages]])</f>
        <v>2287.6999999999998</v>
      </c>
      <c r="E353" s="13">
        <v>181.9</v>
      </c>
      <c r="F353" s="13">
        <v>167.5</v>
      </c>
      <c r="G353" s="13">
        <v>176.9</v>
      </c>
      <c r="H353" s="4">
        <f>SUM('Working Data'!X353,'Working Data'!AB353)</f>
        <v>355.70000000000005</v>
      </c>
      <c r="I353" s="4">
        <f>SUM('Working Data'!U353,'Working Data'!W353)</f>
        <v>347.3</v>
      </c>
      <c r="J353" s="4">
        <f>SUM('Working Data'!R353,'Working Data'!S353,'Working Data'!T353)</f>
        <v>559.29999999999995</v>
      </c>
      <c r="K353" s="4">
        <f>SUM('Working Data'!AC353,'Working Data'!Z353,'Working Data'!Q353)</f>
        <v>540.9</v>
      </c>
      <c r="L353" s="4">
        <v>177.8</v>
      </c>
    </row>
    <row r="354" spans="1:12" hidden="1" x14ac:dyDescent="0.3">
      <c r="A354" s="1" t="s">
        <v>33</v>
      </c>
      <c r="B354" s="1">
        <v>2022</v>
      </c>
      <c r="C354" s="1" t="s">
        <v>45</v>
      </c>
      <c r="D354">
        <f>SUM(Table13[[#This Row],[Cereals and products]:[Food and beverages]])</f>
        <v>2314.4</v>
      </c>
      <c r="E354" s="12">
        <v>180.3</v>
      </c>
      <c r="F354" s="12">
        <v>158.9</v>
      </c>
      <c r="G354" s="12">
        <v>171.5</v>
      </c>
      <c r="H354" s="4">
        <f>SUM('Working Data'!X354,'Working Data'!AB354)</f>
        <v>349.6</v>
      </c>
      <c r="I354" s="4">
        <f>SUM('Working Data'!U354,'Working Data'!W354)</f>
        <v>338.70000000000005</v>
      </c>
      <c r="J354" s="4">
        <f>SUM('Working Data'!R354,'Working Data'!S354,'Working Data'!T354)</f>
        <v>514.9</v>
      </c>
      <c r="K354" s="4">
        <f>SUM('Working Data'!AC354,'Working Data'!Z354,'Working Data'!Q354)</f>
        <v>534.70000000000005</v>
      </c>
      <c r="L354" s="4">
        <v>174.1</v>
      </c>
    </row>
    <row r="355" spans="1:12" hidden="1" x14ac:dyDescent="0.3">
      <c r="A355" s="2" t="s">
        <v>34</v>
      </c>
      <c r="B355" s="2">
        <v>2022</v>
      </c>
      <c r="C355" s="2" t="s">
        <v>45</v>
      </c>
      <c r="D355">
        <f>SUM(Table13[[#This Row],[Cereals and products]:[Food and beverages]])</f>
        <v>2296.8000000000002</v>
      </c>
      <c r="E355" s="13">
        <v>181.3</v>
      </c>
      <c r="F355" s="13">
        <v>163</v>
      </c>
      <c r="G355" s="13">
        <v>173.7</v>
      </c>
      <c r="H355" s="4">
        <f>SUM('Working Data'!X355,'Working Data'!AB355)</f>
        <v>353.4</v>
      </c>
      <c r="I355" s="4">
        <f>SUM('Working Data'!U355,'Working Data'!W355)</f>
        <v>343.20000000000005</v>
      </c>
      <c r="J355" s="4">
        <f>SUM('Working Data'!R355,'Working Data'!S355,'Working Data'!T355)</f>
        <v>541.4</v>
      </c>
      <c r="K355" s="4">
        <f>SUM('Working Data'!AC355,'Working Data'!Z355,'Working Data'!Q355)</f>
        <v>536.5</v>
      </c>
      <c r="L355" s="4">
        <v>176.5</v>
      </c>
    </row>
    <row r="356" spans="1:12" hidden="1" x14ac:dyDescent="0.3">
      <c r="A356" s="1" t="s">
        <v>30</v>
      </c>
      <c r="B356" s="1">
        <v>2022</v>
      </c>
      <c r="C356" s="1" t="s">
        <v>46</v>
      </c>
      <c r="D356">
        <f>SUM(Table13[[#This Row],[Cereals and products]:[Food and beverages]])</f>
        <v>2277.1</v>
      </c>
      <c r="E356" s="12">
        <v>182.8</v>
      </c>
      <c r="F356" s="12">
        <v>167.8</v>
      </c>
      <c r="G356" s="12">
        <v>177.3</v>
      </c>
      <c r="H356" s="4">
        <f>SUM('Working Data'!X356,'Working Data'!AB356)</f>
        <v>359.2</v>
      </c>
      <c r="I356" s="4">
        <f>SUM('Working Data'!U356,'Working Data'!W356)</f>
        <v>347.1</v>
      </c>
      <c r="J356" s="4">
        <f>SUM('Working Data'!R356,'Working Data'!S356,'Working Data'!T356)</f>
        <v>561.79999999999995</v>
      </c>
      <c r="K356" s="4">
        <f>SUM('Working Data'!AC356,'Working Data'!Z356,'Working Data'!Q356)</f>
        <v>542.6</v>
      </c>
      <c r="L356" s="4">
        <v>177.1</v>
      </c>
    </row>
    <row r="357" spans="1:12" hidden="1" x14ac:dyDescent="0.3">
      <c r="A357" s="2" t="s">
        <v>33</v>
      </c>
      <c r="B357" s="2">
        <v>2022</v>
      </c>
      <c r="C357" s="2" t="s">
        <v>46</v>
      </c>
      <c r="D357">
        <f>SUM(Table13[[#This Row],[Cereals and products]:[Food and beverages]])</f>
        <v>2295.7999999999997</v>
      </c>
      <c r="E357" s="13">
        <v>180.6</v>
      </c>
      <c r="F357" s="13">
        <v>159.4</v>
      </c>
      <c r="G357" s="13">
        <v>171.8</v>
      </c>
      <c r="H357" s="4">
        <f>SUM('Working Data'!X357,'Working Data'!AB357)</f>
        <v>353.2</v>
      </c>
      <c r="I357" s="4">
        <f>SUM('Working Data'!U357,'Working Data'!W357)</f>
        <v>338</v>
      </c>
      <c r="J357" s="4">
        <f>SUM('Working Data'!R357,'Working Data'!S357,'Working Data'!T357)</f>
        <v>517.9</v>
      </c>
      <c r="K357" s="4">
        <f>SUM('Working Data'!AC357,'Working Data'!Z357,'Working Data'!Q357)</f>
        <v>536.4</v>
      </c>
      <c r="L357" s="4">
        <v>174.1</v>
      </c>
    </row>
    <row r="358" spans="1:12" hidden="1" x14ac:dyDescent="0.3">
      <c r="A358" s="1" t="s">
        <v>34</v>
      </c>
      <c r="B358" s="1">
        <v>2022</v>
      </c>
      <c r="C358" s="1" t="s">
        <v>46</v>
      </c>
      <c r="D358">
        <f>SUM(Table13[[#This Row],[Cereals and products]:[Food and beverages]])</f>
        <v>2283.4</v>
      </c>
      <c r="E358" s="12">
        <v>182</v>
      </c>
      <c r="F358" s="12">
        <v>163.4</v>
      </c>
      <c r="G358" s="12">
        <v>174.1</v>
      </c>
      <c r="H358" s="4">
        <f>SUM('Working Data'!X358,'Working Data'!AB358)</f>
        <v>356.9</v>
      </c>
      <c r="I358" s="4">
        <f>SUM('Working Data'!U358,'Working Data'!W358)</f>
        <v>342.79999999999995</v>
      </c>
      <c r="J358" s="4">
        <f>SUM('Working Data'!R358,'Working Data'!S358,'Working Data'!T358)</f>
        <v>544</v>
      </c>
      <c r="K358" s="4">
        <f>SUM('Working Data'!AC358,'Working Data'!Z358,'Working Data'!Q358)</f>
        <v>538.20000000000005</v>
      </c>
      <c r="L358" s="4">
        <v>175.7</v>
      </c>
    </row>
    <row r="359" spans="1:12" hidden="1" x14ac:dyDescent="0.3">
      <c r="A359" s="2" t="s">
        <v>30</v>
      </c>
      <c r="B359" s="2">
        <v>2023</v>
      </c>
      <c r="C359" s="2" t="s">
        <v>31</v>
      </c>
      <c r="D359">
        <f>SUM(Table13[[#This Row],[Cereals and products]:[Food and beverages]])</f>
        <v>2283.2000000000003</v>
      </c>
      <c r="E359" s="13">
        <v>183.2</v>
      </c>
      <c r="F359" s="13">
        <v>168.2</v>
      </c>
      <c r="G359" s="13">
        <v>177.8</v>
      </c>
      <c r="H359" s="4">
        <f>SUM('Working Data'!X359,'Working Data'!AB359)</f>
        <v>363.1</v>
      </c>
      <c r="I359" s="4">
        <f>SUM('Working Data'!U359,'Working Data'!W359)</f>
        <v>349.29999999999995</v>
      </c>
      <c r="J359" s="4">
        <f>SUM('Working Data'!R359,'Working Data'!S359,'Working Data'!T359)</f>
        <v>563.9</v>
      </c>
      <c r="K359" s="4">
        <f>SUM('Working Data'!AC359,'Working Data'!Z359,'Working Data'!Q359)</f>
        <v>545.20000000000005</v>
      </c>
      <c r="L359" s="4">
        <v>177.8</v>
      </c>
    </row>
    <row r="360" spans="1:12" hidden="1" x14ac:dyDescent="0.3">
      <c r="A360" s="1" t="s">
        <v>33</v>
      </c>
      <c r="B360" s="1">
        <v>2023</v>
      </c>
      <c r="C360" s="1" t="s">
        <v>31</v>
      </c>
      <c r="D360">
        <f>SUM(Table13[[#This Row],[Cereals and products]:[Food and beverages]])</f>
        <v>2310.2000000000003</v>
      </c>
      <c r="E360" s="12">
        <v>180.1</v>
      </c>
      <c r="F360" s="12">
        <v>159.5</v>
      </c>
      <c r="G360" s="12">
        <v>171.8</v>
      </c>
      <c r="H360" s="4">
        <f>SUM('Working Data'!X360,'Working Data'!AB360)</f>
        <v>357.3</v>
      </c>
      <c r="I360" s="4">
        <f>SUM('Working Data'!U360,'Working Data'!W360)</f>
        <v>340.1</v>
      </c>
      <c r="J360" s="4">
        <f>SUM('Working Data'!R360,'Working Data'!S360,'Working Data'!T360)</f>
        <v>520.6</v>
      </c>
      <c r="K360" s="4">
        <f>SUM('Working Data'!AC360,'Working Data'!Z360,'Working Data'!Q360)</f>
        <v>538.30000000000007</v>
      </c>
      <c r="L360" s="4">
        <v>174.9</v>
      </c>
    </row>
    <row r="361" spans="1:12" hidden="1" x14ac:dyDescent="0.3">
      <c r="A361" s="2" t="s">
        <v>34</v>
      </c>
      <c r="B361" s="2">
        <v>2023</v>
      </c>
      <c r="C361" s="2" t="s">
        <v>31</v>
      </c>
      <c r="D361">
        <f>SUM(Table13[[#This Row],[Cereals and products]:[Food and beverages]])</f>
        <v>2292.6999999999998</v>
      </c>
      <c r="E361" s="13">
        <v>182</v>
      </c>
      <c r="F361" s="13">
        <v>163.6</v>
      </c>
      <c r="G361" s="13">
        <v>174.3</v>
      </c>
      <c r="H361" s="4">
        <f>SUM('Working Data'!X361,'Working Data'!AB361)</f>
        <v>360.9</v>
      </c>
      <c r="I361" s="4">
        <f>SUM('Working Data'!U361,'Working Data'!W361)</f>
        <v>345</v>
      </c>
      <c r="J361" s="4">
        <f>SUM('Working Data'!R361,'Working Data'!S361,'Working Data'!T361)</f>
        <v>546.29999999999995</v>
      </c>
      <c r="K361" s="4">
        <f>SUM('Working Data'!AC361,'Working Data'!Z361,'Working Data'!Q361)</f>
        <v>540.5</v>
      </c>
      <c r="L361" s="4">
        <v>176.5</v>
      </c>
    </row>
    <row r="362" spans="1:12" hidden="1" x14ac:dyDescent="0.3">
      <c r="A362" s="1" t="s">
        <v>30</v>
      </c>
      <c r="B362" s="1">
        <v>2023</v>
      </c>
      <c r="C362" s="1" t="s">
        <v>35</v>
      </c>
      <c r="D362">
        <f>SUM(Table13[[#This Row],[Cereals and products]:[Food and beverages]])</f>
        <v>2265.6999999999998</v>
      </c>
      <c r="E362" s="12">
        <v>181.6</v>
      </c>
      <c r="F362" s="12">
        <v>169</v>
      </c>
      <c r="G362" s="12">
        <v>178.5</v>
      </c>
      <c r="H362" s="4">
        <f>SUM('Working Data'!X362,'Working Data'!AB362)</f>
        <v>367.29999999999995</v>
      </c>
      <c r="I362" s="4">
        <f>SUM('Working Data'!U362,'Working Data'!W362)</f>
        <v>352.1</v>
      </c>
      <c r="J362" s="4">
        <f>SUM('Working Data'!R362,'Working Data'!S362,'Working Data'!T362)</f>
        <v>566.6</v>
      </c>
      <c r="K362" s="4">
        <f>SUM('Working Data'!AC362,'Working Data'!Z362,'Working Data'!Q362)</f>
        <v>549</v>
      </c>
      <c r="L362" s="4">
        <v>178</v>
      </c>
    </row>
    <row r="363" spans="1:12" hidden="1" x14ac:dyDescent="0.3">
      <c r="A363" s="2" t="s">
        <v>33</v>
      </c>
      <c r="B363" s="2">
        <v>2023</v>
      </c>
      <c r="C363" s="2" t="s">
        <v>35</v>
      </c>
      <c r="D363">
        <f>SUM(Table13[[#This Row],[Cereals and products]:[Food and beverages]])</f>
        <v>2303.1999999999998</v>
      </c>
      <c r="E363" s="13">
        <v>182.8</v>
      </c>
      <c r="F363" s="13">
        <v>159.80000000000001</v>
      </c>
      <c r="G363" s="13">
        <v>172.5</v>
      </c>
      <c r="H363" s="4">
        <f>SUM('Working Data'!X363,'Working Data'!AB363)</f>
        <v>362.20000000000005</v>
      </c>
      <c r="I363" s="4">
        <f>SUM('Working Data'!U363,'Working Data'!W363)</f>
        <v>342.7</v>
      </c>
      <c r="J363" s="4">
        <f>SUM('Working Data'!R363,'Working Data'!S363,'Working Data'!T363)</f>
        <v>525.5</v>
      </c>
      <c r="K363" s="4">
        <f>SUM('Working Data'!AC363,'Working Data'!Z363,'Working Data'!Q363)</f>
        <v>541.09999999999991</v>
      </c>
      <c r="L363" s="4">
        <v>176.3</v>
      </c>
    </row>
    <row r="364" spans="1:12" hidden="1" x14ac:dyDescent="0.3">
      <c r="A364" s="1" t="s">
        <v>34</v>
      </c>
      <c r="B364" s="1">
        <v>2023</v>
      </c>
      <c r="C364" s="1" t="s">
        <v>35</v>
      </c>
      <c r="D364">
        <f>SUM(Table13[[#This Row],[Cereals and products]:[Food and beverages]])</f>
        <v>2279.1</v>
      </c>
      <c r="E364" s="12">
        <v>182.1</v>
      </c>
      <c r="F364" s="12">
        <v>164.2</v>
      </c>
      <c r="G364" s="12">
        <v>175</v>
      </c>
      <c r="H364" s="4">
        <f>SUM('Working Data'!X364,'Working Data'!AB364)</f>
        <v>365.4</v>
      </c>
      <c r="I364" s="4">
        <f>SUM('Working Data'!U364,'Working Data'!W364)</f>
        <v>347.7</v>
      </c>
      <c r="J364" s="4">
        <f>SUM('Working Data'!R364,'Working Data'!S364,'Working Data'!T364)</f>
        <v>550</v>
      </c>
      <c r="K364" s="4">
        <f>SUM('Working Data'!AC364,'Working Data'!Z364,'Working Data'!Q364)</f>
        <v>543.9</v>
      </c>
      <c r="L364" s="4">
        <v>177.2</v>
      </c>
    </row>
    <row r="365" spans="1:12" hidden="1" x14ac:dyDescent="0.3">
      <c r="A365" s="2" t="s">
        <v>30</v>
      </c>
      <c r="B365" s="2">
        <v>2023</v>
      </c>
      <c r="C365" s="2" t="s">
        <v>36</v>
      </c>
      <c r="D365">
        <f>SUM(Table13[[#This Row],[Cereals and products]:[Food and beverages]])</f>
        <v>2265.8000000000002</v>
      </c>
      <c r="E365" s="13">
        <v>181.4</v>
      </c>
      <c r="F365" s="13">
        <v>169</v>
      </c>
      <c r="G365" s="13">
        <v>178.5</v>
      </c>
      <c r="H365" s="4">
        <f>SUM('Working Data'!X365,'Working Data'!AB365)</f>
        <v>367.29999999999995</v>
      </c>
      <c r="I365" s="4">
        <f>SUM('Working Data'!U365,'Working Data'!W365)</f>
        <v>352.1</v>
      </c>
      <c r="J365" s="4">
        <f>SUM('Working Data'!R365,'Working Data'!S365,'Working Data'!T365)</f>
        <v>566.6</v>
      </c>
      <c r="K365" s="4">
        <f>SUM('Working Data'!AC365,'Working Data'!Z365,'Working Data'!Q365)</f>
        <v>549.1</v>
      </c>
      <c r="L365" s="4">
        <v>178</v>
      </c>
    </row>
    <row r="366" spans="1:12" hidden="1" x14ac:dyDescent="0.3">
      <c r="A366" s="1" t="s">
        <v>33</v>
      </c>
      <c r="B366" s="1">
        <v>2023</v>
      </c>
      <c r="C366" s="1" t="s">
        <v>36</v>
      </c>
      <c r="D366">
        <f>SUM(Table13[[#This Row],[Cereals and products]:[Food and beverages]])</f>
        <v>2303.4</v>
      </c>
      <c r="E366" s="12">
        <v>182.6</v>
      </c>
      <c r="F366" s="12">
        <v>159.80000000000001</v>
      </c>
      <c r="G366" s="12">
        <v>172.5</v>
      </c>
      <c r="H366" s="4">
        <f>SUM('Working Data'!X366,'Working Data'!AB366)</f>
        <v>362.3</v>
      </c>
      <c r="I366" s="4">
        <f>SUM('Working Data'!U366,'Working Data'!W366)</f>
        <v>342.7</v>
      </c>
      <c r="J366" s="4">
        <f>SUM('Working Data'!R366,'Working Data'!S366,'Working Data'!T366)</f>
        <v>525.4</v>
      </c>
      <c r="K366" s="4">
        <f>SUM('Working Data'!AC366,'Working Data'!Z366,'Working Data'!Q366)</f>
        <v>541.09999999999991</v>
      </c>
      <c r="L366" s="4">
        <v>176.3</v>
      </c>
    </row>
    <row r="367" spans="1:12" hidden="1" x14ac:dyDescent="0.3">
      <c r="A367" s="2" t="s">
        <v>34</v>
      </c>
      <c r="B367" s="2">
        <v>2023</v>
      </c>
      <c r="C367" s="2" t="s">
        <v>36</v>
      </c>
      <c r="D367">
        <f>SUM(Table13[[#This Row],[Cereals and products]:[Food and beverages]])</f>
        <v>2279.1999999999998</v>
      </c>
      <c r="E367" s="13">
        <v>181.9</v>
      </c>
      <c r="F367" s="13">
        <v>164.2</v>
      </c>
      <c r="G367" s="13">
        <v>175</v>
      </c>
      <c r="H367" s="4">
        <f>SUM('Working Data'!X367,'Working Data'!AB367)</f>
        <v>365.4</v>
      </c>
      <c r="I367" s="4">
        <f>SUM('Working Data'!U367,'Working Data'!W367)</f>
        <v>347.7</v>
      </c>
      <c r="J367" s="4">
        <f>SUM('Working Data'!R367,'Working Data'!S367,'Working Data'!T367)</f>
        <v>549.9</v>
      </c>
      <c r="K367" s="4">
        <f>SUM('Working Data'!AC367,'Working Data'!Z367,'Working Data'!Q367)</f>
        <v>543.9</v>
      </c>
      <c r="L367" s="4">
        <v>177.2</v>
      </c>
    </row>
    <row r="368" spans="1:12" hidden="1" x14ac:dyDescent="0.3">
      <c r="A368" s="1" t="s">
        <v>30</v>
      </c>
      <c r="B368" s="1">
        <v>2023</v>
      </c>
      <c r="C368" s="1" t="s">
        <v>37</v>
      </c>
      <c r="D368">
        <f>SUM(Table13[[#This Row],[Cereals and products]:[Food and beverages]])</f>
        <v>2274.1999999999998</v>
      </c>
      <c r="E368" s="12">
        <v>181.5</v>
      </c>
      <c r="F368" s="12">
        <v>169.4</v>
      </c>
      <c r="G368" s="12">
        <v>179.4</v>
      </c>
      <c r="H368" s="4">
        <f>SUM('Working Data'!X368,'Working Data'!AB368)</f>
        <v>371</v>
      </c>
      <c r="I368" s="4">
        <f>SUM('Working Data'!U368,'Working Data'!W368)</f>
        <v>354.29999999999995</v>
      </c>
      <c r="J368" s="4">
        <f>SUM('Working Data'!R368,'Working Data'!S368,'Working Data'!T368)</f>
        <v>568.20000000000005</v>
      </c>
      <c r="K368" s="4">
        <f>SUM('Working Data'!AC368,'Working Data'!Z368,'Working Data'!Q368)</f>
        <v>551.6</v>
      </c>
      <c r="L368" s="4">
        <v>178.8</v>
      </c>
    </row>
    <row r="369" spans="1:12" hidden="1" x14ac:dyDescent="0.3">
      <c r="A369" s="2" t="s">
        <v>33</v>
      </c>
      <c r="B369" s="2">
        <v>2023</v>
      </c>
      <c r="C369" s="2" t="s">
        <v>37</v>
      </c>
      <c r="D369">
        <f>SUM(Table13[[#This Row],[Cereals and products]:[Food and beverages]])</f>
        <v>2317.7000000000003</v>
      </c>
      <c r="E369" s="13">
        <v>182.1</v>
      </c>
      <c r="F369" s="13">
        <v>160.1</v>
      </c>
      <c r="G369" s="13">
        <v>174.2</v>
      </c>
      <c r="H369" s="4">
        <f>SUM('Working Data'!X369,'Working Data'!AB369)</f>
        <v>365.9</v>
      </c>
      <c r="I369" s="4">
        <f>SUM('Working Data'!U369,'Working Data'!W369)</f>
        <v>344.79999999999995</v>
      </c>
      <c r="J369" s="4">
        <f>SUM('Working Data'!R369,'Working Data'!S369,'Working Data'!T369)</f>
        <v>527.6</v>
      </c>
      <c r="K369" s="4">
        <f>SUM('Working Data'!AC369,'Working Data'!Z369,'Working Data'!Q369)</f>
        <v>543.20000000000005</v>
      </c>
      <c r="L369" s="4">
        <v>177.4</v>
      </c>
    </row>
    <row r="370" spans="1:12" hidden="1" x14ac:dyDescent="0.3">
      <c r="A370" s="1" t="s">
        <v>34</v>
      </c>
      <c r="B370" s="1">
        <v>2023</v>
      </c>
      <c r="C370" s="1" t="s">
        <v>37</v>
      </c>
      <c r="D370">
        <f>SUM(Table13[[#This Row],[Cereals and products]:[Food and beverages]])</f>
        <v>2289.6000000000004</v>
      </c>
      <c r="E370" s="12">
        <v>181.7</v>
      </c>
      <c r="F370" s="12">
        <v>164.5</v>
      </c>
      <c r="G370" s="12">
        <v>176.4</v>
      </c>
      <c r="H370" s="4">
        <f>SUM('Working Data'!X370,'Working Data'!AB370)</f>
        <v>369</v>
      </c>
      <c r="I370" s="4">
        <f>SUM('Working Data'!U370,'Working Data'!W370)</f>
        <v>349.79999999999995</v>
      </c>
      <c r="J370" s="4">
        <f>SUM('Working Data'!R370,'Working Data'!S370,'Working Data'!T370)</f>
        <v>551.79999999999995</v>
      </c>
      <c r="K370" s="4">
        <f>SUM('Working Data'!AC370,'Working Data'!Z370,'Working Data'!Q370)</f>
        <v>546.29999999999995</v>
      </c>
      <c r="L370" s="4">
        <v>178.1</v>
      </c>
    </row>
    <row r="371" spans="1:12" hidden="1" x14ac:dyDescent="0.3">
      <c r="A371" s="2" t="s">
        <v>30</v>
      </c>
      <c r="B371" s="2">
        <v>2023</v>
      </c>
      <c r="C371" s="2" t="s">
        <v>38</v>
      </c>
      <c r="D371">
        <f>SUM(Table13[[#This Row],[Cereals and products]:[Food and beverages]])</f>
        <v>2290.7000000000007</v>
      </c>
      <c r="E371" s="13">
        <v>182.5</v>
      </c>
      <c r="F371" s="13">
        <v>169.7</v>
      </c>
      <c r="G371" s="13">
        <v>180.3</v>
      </c>
      <c r="H371" s="4">
        <f>SUM('Working Data'!X371,'Working Data'!AB371)</f>
        <v>372.70000000000005</v>
      </c>
      <c r="I371" s="4">
        <f>SUM('Working Data'!U371,'Working Data'!W371)</f>
        <v>355.4</v>
      </c>
      <c r="J371" s="4">
        <f>SUM('Working Data'!R371,'Working Data'!S371,'Working Data'!T371)</f>
        <v>569.90000000000009</v>
      </c>
      <c r="K371" s="4">
        <f>SUM('Working Data'!AC371,'Working Data'!Z371,'Working Data'!Q371)</f>
        <v>553.20000000000005</v>
      </c>
      <c r="L371" s="4">
        <v>179.8</v>
      </c>
    </row>
    <row r="372" spans="1:12" hidden="1" x14ac:dyDescent="0.3">
      <c r="A372" s="1" t="s">
        <v>33</v>
      </c>
      <c r="B372" s="1">
        <v>2023</v>
      </c>
      <c r="C372" s="1" t="s">
        <v>38</v>
      </c>
      <c r="D372">
        <f>SUM(Table13[[#This Row],[Cereals and products]:[Food and beverages]])</f>
        <v>2335.1</v>
      </c>
      <c r="E372" s="12">
        <v>183.4</v>
      </c>
      <c r="F372" s="12">
        <v>160.4</v>
      </c>
      <c r="G372" s="12">
        <v>174.8</v>
      </c>
      <c r="H372" s="4">
        <f>SUM('Working Data'!X372,'Working Data'!AB372)</f>
        <v>367.79999999999995</v>
      </c>
      <c r="I372" s="4">
        <f>SUM('Working Data'!U372,'Working Data'!W372)</f>
        <v>345.7</v>
      </c>
      <c r="J372" s="4">
        <f>SUM('Working Data'!R372,'Working Data'!S372,'Working Data'!T372)</f>
        <v>528.70000000000005</v>
      </c>
      <c r="K372" s="4">
        <f>SUM('Working Data'!AC372,'Working Data'!Z372,'Working Data'!Q372)</f>
        <v>545</v>
      </c>
      <c r="L372" s="4">
        <v>178.2</v>
      </c>
    </row>
    <row r="373" spans="1:12" hidden="1" x14ac:dyDescent="0.3">
      <c r="A373" s="2" t="s">
        <v>34</v>
      </c>
      <c r="B373" s="2">
        <v>2023</v>
      </c>
      <c r="C373" s="2" t="s">
        <v>38</v>
      </c>
      <c r="D373">
        <f>SUM(Table13[[#This Row],[Cereals and products]:[Food and beverages]])</f>
        <v>2306.9</v>
      </c>
      <c r="E373" s="13">
        <v>182.8</v>
      </c>
      <c r="F373" s="13">
        <v>164.8</v>
      </c>
      <c r="G373" s="13">
        <v>177.1</v>
      </c>
      <c r="H373" s="4">
        <f>SUM('Working Data'!X373,'Working Data'!AB373)</f>
        <v>370.9</v>
      </c>
      <c r="I373" s="4">
        <f>SUM('Working Data'!U373,'Working Data'!W373)</f>
        <v>350.79999999999995</v>
      </c>
      <c r="J373" s="4">
        <f>SUM('Working Data'!R373,'Working Data'!S373,'Working Data'!T373)</f>
        <v>553.20000000000005</v>
      </c>
      <c r="K373" s="4">
        <f>SUM('Working Data'!AC373,'Working Data'!Z373,'Working Data'!Q373)</f>
        <v>547.9</v>
      </c>
      <c r="L373" s="4">
        <v>179.1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D671-5C1F-41E4-AAD7-D7471EDF63C2}">
  <dimension ref="B1:T28"/>
  <sheetViews>
    <sheetView zoomScaleNormal="100" workbookViewId="0">
      <selection activeCell="E3" sqref="E3:E28"/>
    </sheetView>
  </sheetViews>
  <sheetFormatPr defaultRowHeight="14.4" x14ac:dyDescent="0.3"/>
  <cols>
    <col min="1" max="1" width="1.33203125" customWidth="1"/>
    <col min="4" max="4" width="25.6640625" bestFit="1" customWidth="1"/>
    <col min="5" max="5" width="30.77734375" bestFit="1" customWidth="1"/>
    <col min="8" max="8" width="13.77734375" customWidth="1"/>
    <col min="9" max="9" width="2.5546875" customWidth="1"/>
    <col min="10" max="10" width="27" bestFit="1" customWidth="1"/>
    <col min="11" max="11" width="18.88671875" bestFit="1" customWidth="1"/>
    <col min="12" max="12" width="7.88671875" customWidth="1"/>
    <col min="13" max="13" width="20.33203125" customWidth="1"/>
    <col min="14" max="14" width="18.21875" bestFit="1" customWidth="1"/>
    <col min="15" max="16" width="6.77734375" bestFit="1" customWidth="1"/>
    <col min="17" max="17" width="6.88671875" customWidth="1"/>
    <col min="18" max="37" width="6.77734375" bestFit="1" customWidth="1"/>
    <col min="38" max="38" width="10.5546875" bestFit="1" customWidth="1"/>
  </cols>
  <sheetData>
    <row r="1" spans="2:20" ht="15" thickBot="1" x14ac:dyDescent="0.35"/>
    <row r="2" spans="2:20" x14ac:dyDescent="0.3">
      <c r="B2" s="33" t="s">
        <v>1</v>
      </c>
      <c r="C2" s="34" t="s">
        <v>2</v>
      </c>
      <c r="D2" s="40" t="s">
        <v>55</v>
      </c>
      <c r="E2" s="40" t="s">
        <v>56</v>
      </c>
      <c r="F2" s="40" t="s">
        <v>30</v>
      </c>
      <c r="G2" s="40" t="s">
        <v>33</v>
      </c>
      <c r="H2" s="41" t="s">
        <v>62</v>
      </c>
      <c r="J2" s="63"/>
      <c r="K2" s="63"/>
      <c r="L2" s="63"/>
      <c r="M2" s="63"/>
      <c r="N2" s="63"/>
      <c r="O2" s="63"/>
      <c r="P2" s="63"/>
      <c r="Q2" s="63"/>
    </row>
    <row r="3" spans="2:20" x14ac:dyDescent="0.3">
      <c r="B3" s="35">
        <v>2023</v>
      </c>
      <c r="C3" s="6" t="s">
        <v>38</v>
      </c>
      <c r="D3" s="6" t="s">
        <v>57</v>
      </c>
      <c r="E3" s="6" t="s">
        <v>3</v>
      </c>
      <c r="F3" s="7">
        <f>HLOOKUP(E3,Table13[[#All],[Cereals and products]:[General index]],371,0)</f>
        <v>173.2</v>
      </c>
      <c r="G3" s="6">
        <f>HLOOKUP(E3,Table13[[#All],[Cereals and products]:[General index]],372,0)</f>
        <v>174.7</v>
      </c>
      <c r="H3" s="36">
        <f>HLOOKUP(E3,Table13[[#All],[Cereals and products]:[General index]],373,0)</f>
        <v>173.7</v>
      </c>
      <c r="J3" s="63"/>
      <c r="K3" s="63"/>
      <c r="L3" s="63"/>
      <c r="M3" s="63"/>
      <c r="N3" s="63"/>
      <c r="O3" s="63"/>
      <c r="P3" s="63"/>
      <c r="Q3" s="63"/>
    </row>
    <row r="4" spans="2:20" x14ac:dyDescent="0.3">
      <c r="B4" s="35">
        <v>2023</v>
      </c>
      <c r="C4" s="6" t="s">
        <v>38</v>
      </c>
      <c r="D4" s="6" t="s">
        <v>57</v>
      </c>
      <c r="E4" s="6" t="s">
        <v>4</v>
      </c>
      <c r="F4" s="7">
        <f>HLOOKUP(E4,Table13[[#All],[Cereals and products]:[General index]],371,0)</f>
        <v>211.5</v>
      </c>
      <c r="G4" s="6">
        <f>HLOOKUP(E4,Table13[[#All],[Cereals and products]:[General index]],372,0)</f>
        <v>219.4</v>
      </c>
      <c r="H4" s="36">
        <f>HLOOKUP(E4,Table13[[#All],[Cereals and products]:[General index]],373,0)</f>
        <v>214.3</v>
      </c>
      <c r="J4" s="63"/>
      <c r="K4" s="63"/>
      <c r="L4" s="63"/>
      <c r="M4" s="63"/>
      <c r="N4" s="63"/>
      <c r="O4" s="63"/>
      <c r="P4" s="63"/>
      <c r="Q4" s="63"/>
    </row>
    <row r="5" spans="2:20" x14ac:dyDescent="0.3">
      <c r="B5" s="35">
        <v>2023</v>
      </c>
      <c r="C5" s="6" t="s">
        <v>38</v>
      </c>
      <c r="D5" s="6" t="s">
        <v>57</v>
      </c>
      <c r="E5" s="6" t="s">
        <v>5</v>
      </c>
      <c r="F5" s="7">
        <f>HLOOKUP(E5,Table13[[#All],[Cereals and products]:[General index]],371,0)</f>
        <v>171</v>
      </c>
      <c r="G5" s="6">
        <f>HLOOKUP(E5,Table13[[#All],[Cereals and products]:[General index]],372,0)</f>
        <v>176.7</v>
      </c>
      <c r="H5" s="36">
        <f>HLOOKUP(E5,Table13[[#All],[Cereals and products]:[General index]],373,0)</f>
        <v>173.2</v>
      </c>
      <c r="L5" s="32"/>
      <c r="T5" s="31"/>
    </row>
    <row r="6" spans="2:20" x14ac:dyDescent="0.3">
      <c r="B6" s="35">
        <v>2023</v>
      </c>
      <c r="C6" s="6" t="s">
        <v>38</v>
      </c>
      <c r="D6" s="6" t="s">
        <v>57</v>
      </c>
      <c r="E6" s="6" t="s">
        <v>6</v>
      </c>
      <c r="F6" s="7">
        <f>HLOOKUP(E6,Table13[[#All],[Cereals and products]:[General index]],371,0)</f>
        <v>179.6</v>
      </c>
      <c r="G6" s="6">
        <f>HLOOKUP(E6,Table13[[#All],[Cereals and products]:[General index]],372,0)</f>
        <v>179.4</v>
      </c>
      <c r="H6" s="36">
        <f>HLOOKUP(E6,Table13[[#All],[Cereals and products]:[General index]],373,0)</f>
        <v>179.5</v>
      </c>
      <c r="L6" s="32"/>
    </row>
    <row r="7" spans="2:20" x14ac:dyDescent="0.3">
      <c r="B7" s="35">
        <v>2023</v>
      </c>
      <c r="C7" s="6" t="s">
        <v>38</v>
      </c>
      <c r="D7" s="6" t="s">
        <v>57</v>
      </c>
      <c r="E7" s="6" t="s">
        <v>7</v>
      </c>
      <c r="F7" s="7">
        <f>HLOOKUP(E7,Table13[[#All],[Cereals and products]:[General index]],371,0)</f>
        <v>173.3</v>
      </c>
      <c r="G7" s="6">
        <f>HLOOKUP(E7,Table13[[#All],[Cereals and products]:[General index]],372,0)</f>
        <v>164.4</v>
      </c>
      <c r="H7" s="36">
        <f>HLOOKUP(E7,Table13[[#All],[Cereals and products]:[General index]],373,0)</f>
        <v>170</v>
      </c>
      <c r="L7" s="32"/>
    </row>
    <row r="8" spans="2:20" x14ac:dyDescent="0.3">
      <c r="B8" s="35">
        <v>2023</v>
      </c>
      <c r="C8" s="6" t="s">
        <v>38</v>
      </c>
      <c r="D8" s="6" t="s">
        <v>57</v>
      </c>
      <c r="E8" s="6" t="s">
        <v>8</v>
      </c>
      <c r="F8" s="7">
        <f>HLOOKUP(E8,Table13[[#All],[Cereals and products]:[General index]],371,0)</f>
        <v>169</v>
      </c>
      <c r="G8" s="6">
        <f>HLOOKUP(E8,Table13[[#All],[Cereals and products]:[General index]],372,0)</f>
        <v>175.8</v>
      </c>
      <c r="H8" s="36">
        <f>HLOOKUP(E8,Table13[[#All],[Cereals and products]:[General index]],373,0)</f>
        <v>172.2</v>
      </c>
      <c r="L8" s="32"/>
    </row>
    <row r="9" spans="2:20" x14ac:dyDescent="0.3">
      <c r="B9" s="35">
        <v>2023</v>
      </c>
      <c r="C9" s="6" t="s">
        <v>38</v>
      </c>
      <c r="D9" s="6" t="s">
        <v>57</v>
      </c>
      <c r="E9" s="6" t="s">
        <v>9</v>
      </c>
      <c r="F9" s="7">
        <f>HLOOKUP(E9,Table13[[#All],[Cereals and products]:[General index]],371,0)</f>
        <v>148.69999999999999</v>
      </c>
      <c r="G9" s="6">
        <f>HLOOKUP(E9,Table13[[#All],[Cereals and products]:[General index]],372,0)</f>
        <v>185</v>
      </c>
      <c r="H9" s="36">
        <f>HLOOKUP(E9,Table13[[#All],[Cereals and products]:[General index]],373,0)</f>
        <v>161</v>
      </c>
      <c r="L9" s="32"/>
    </row>
    <row r="10" spans="2:20" ht="15" thickBot="1" x14ac:dyDescent="0.35">
      <c r="B10" s="35">
        <v>2023</v>
      </c>
      <c r="C10" s="6" t="s">
        <v>38</v>
      </c>
      <c r="D10" s="6" t="s">
        <v>57</v>
      </c>
      <c r="E10" s="6" t="s">
        <v>10</v>
      </c>
      <c r="F10" s="7">
        <f>HLOOKUP(E10,Table13[[#All],[Cereals and products]:[General index]],371,0)</f>
        <v>174.9</v>
      </c>
      <c r="G10" s="6">
        <f>HLOOKUP(E10,Table13[[#All],[Cereals and products]:[General index]],372,0)</f>
        <v>176.9</v>
      </c>
      <c r="H10" s="36">
        <f>HLOOKUP(E10,Table13[[#All],[Cereals and products]:[General index]],373,0)</f>
        <v>175.6</v>
      </c>
      <c r="L10" s="32"/>
    </row>
    <row r="11" spans="2:20" ht="15" thickBot="1" x14ac:dyDescent="0.35">
      <c r="B11" s="35">
        <v>2023</v>
      </c>
      <c r="C11" s="6" t="s">
        <v>38</v>
      </c>
      <c r="D11" s="6" t="s">
        <v>57</v>
      </c>
      <c r="E11" s="6" t="s">
        <v>11</v>
      </c>
      <c r="F11" s="7">
        <f>HLOOKUP(E11,Table13[[#All],[Cereals and products]:[General index]],371,0)</f>
        <v>121.9</v>
      </c>
      <c r="G11" s="6">
        <f>HLOOKUP(E11,Table13[[#All],[Cereals and products]:[General index]],372,0)</f>
        <v>124.2</v>
      </c>
      <c r="H11" s="36">
        <f>HLOOKUP(E11,Table13[[#All],[Cereals and products]:[General index]],373,0)</f>
        <v>122.7</v>
      </c>
      <c r="J11" s="43" t="s">
        <v>51</v>
      </c>
      <c r="K11" s="48" t="s">
        <v>63</v>
      </c>
      <c r="L11" s="32"/>
    </row>
    <row r="12" spans="2:20" x14ac:dyDescent="0.3">
      <c r="B12" s="35">
        <v>2023</v>
      </c>
      <c r="C12" s="6" t="s">
        <v>38</v>
      </c>
      <c r="D12" s="6" t="s">
        <v>57</v>
      </c>
      <c r="E12" s="6" t="s">
        <v>12</v>
      </c>
      <c r="F12" s="7">
        <f>HLOOKUP(E12,Table13[[#All],[Cereals and products]:[General index]],371,0)</f>
        <v>221</v>
      </c>
      <c r="G12" s="6">
        <f>HLOOKUP(E12,Table13[[#All],[Cereals and products]:[General index]],372,0)</f>
        <v>211.9</v>
      </c>
      <c r="H12" s="36">
        <f>HLOOKUP(E12,Table13[[#All],[Cereals and products]:[General index]],373,0)</f>
        <v>218</v>
      </c>
      <c r="J12" s="44" t="s">
        <v>57</v>
      </c>
      <c r="K12" s="53">
        <v>0.49563853557923693</v>
      </c>
    </row>
    <row r="13" spans="2:20" x14ac:dyDescent="0.3">
      <c r="B13" s="35">
        <v>2023</v>
      </c>
      <c r="C13" s="6" t="s">
        <v>38</v>
      </c>
      <c r="D13" s="6" t="s">
        <v>57</v>
      </c>
      <c r="E13" s="6" t="s">
        <v>13</v>
      </c>
      <c r="F13" s="7">
        <f>HLOOKUP(E13,Table13[[#All],[Cereals and products]:[General index]],371,0)</f>
        <v>178.7</v>
      </c>
      <c r="G13" s="6">
        <f>HLOOKUP(E13,Table13[[#All],[Cereals and products]:[General index]],372,0)</f>
        <v>165.9</v>
      </c>
      <c r="H13" s="36">
        <f>HLOOKUP(E13,Table13[[#All],[Cereals and products]:[General index]],373,0)</f>
        <v>173.4</v>
      </c>
      <c r="J13" s="45" t="s">
        <v>60</v>
      </c>
      <c r="K13" s="54">
        <v>0.11885527672739775</v>
      </c>
    </row>
    <row r="14" spans="2:20" x14ac:dyDescent="0.3">
      <c r="B14" s="35">
        <v>2023</v>
      </c>
      <c r="C14" s="6" t="s">
        <v>38</v>
      </c>
      <c r="D14" s="6" t="s">
        <v>57</v>
      </c>
      <c r="E14" s="6" t="s">
        <v>14</v>
      </c>
      <c r="F14" s="7">
        <f>HLOOKUP(E14,Table13[[#All],[Cereals and products]:[General index]],371,0)</f>
        <v>191.1</v>
      </c>
      <c r="G14" s="6">
        <f>HLOOKUP(E14,Table13[[#All],[Cereals and products]:[General index]],372,0)</f>
        <v>197.7</v>
      </c>
      <c r="H14" s="36">
        <f>HLOOKUP(E14,Table13[[#All],[Cereals and products]:[General index]],373,0)</f>
        <v>194.2</v>
      </c>
      <c r="J14" s="45" t="s">
        <v>61</v>
      </c>
      <c r="K14" s="54">
        <v>0.11771656926778962</v>
      </c>
    </row>
    <row r="15" spans="2:20" x14ac:dyDescent="0.3">
      <c r="B15" s="35">
        <v>2023</v>
      </c>
      <c r="C15" s="6" t="s">
        <v>38</v>
      </c>
      <c r="D15" s="6" t="s">
        <v>57</v>
      </c>
      <c r="E15" s="6" t="s">
        <v>15</v>
      </c>
      <c r="F15" s="7">
        <f>HLOOKUP(E15,Table13[[#All],[Cereals and products]:[General index]],371,0)</f>
        <v>176.8</v>
      </c>
      <c r="G15" s="6">
        <f>HLOOKUP(E15,Table13[[#All],[Cereals and products]:[General index]],372,0)</f>
        <v>183.1</v>
      </c>
      <c r="H15" s="36">
        <f>HLOOKUP(E15,Table13[[#All],[Cereals and products]:[General index]],373,0)</f>
        <v>179.1</v>
      </c>
      <c r="J15" s="45" t="s">
        <v>58</v>
      </c>
      <c r="K15" s="54">
        <v>7.9688037126160197E-2</v>
      </c>
    </row>
    <row r="16" spans="2:20" x14ac:dyDescent="0.3">
      <c r="B16" s="35">
        <v>2023</v>
      </c>
      <c r="C16" s="6" t="s">
        <v>38</v>
      </c>
      <c r="D16" s="6" t="s">
        <v>53</v>
      </c>
      <c r="E16" s="6" t="s">
        <v>21</v>
      </c>
      <c r="F16" s="7">
        <f>HLOOKUP(E16,Table13[[#All],[Cereals and products]:[General index]],371,0)</f>
        <v>182.5</v>
      </c>
      <c r="G16" s="6">
        <f>HLOOKUP(E16,Table13[[#All],[Cereals and products]:[General index]],372,0)</f>
        <v>183.4</v>
      </c>
      <c r="H16" s="36">
        <f>HLOOKUP(E16,Table13[[#All],[Cereals and products]:[General index]],373,0)</f>
        <v>182.8</v>
      </c>
      <c r="J16" s="45" t="s">
        <v>59</v>
      </c>
      <c r="K16" s="54">
        <v>7.5369542798212438E-2</v>
      </c>
    </row>
    <row r="17" spans="2:14" x14ac:dyDescent="0.3">
      <c r="B17" s="35">
        <v>2023</v>
      </c>
      <c r="C17" s="6" t="s">
        <v>38</v>
      </c>
      <c r="D17" s="6" t="s">
        <v>54</v>
      </c>
      <c r="E17" s="6" t="s">
        <v>24</v>
      </c>
      <c r="F17" s="7">
        <f>HLOOKUP(E17,Table13[[#All],[Cereals and products]:[General index]],371,0)</f>
        <v>169.7</v>
      </c>
      <c r="G17" s="6">
        <f>HLOOKUP(E17,Table13[[#All],[Cereals and products]:[General index]],372,0)</f>
        <v>160.4</v>
      </c>
      <c r="H17" s="36">
        <f>HLOOKUP(E17,Table13[[#All],[Cereals and products]:[General index]],373,0)</f>
        <v>164.8</v>
      </c>
      <c r="J17" s="45" t="s">
        <v>53</v>
      </c>
      <c r="K17" s="54">
        <v>3.9274664833276046E-2</v>
      </c>
    </row>
    <row r="18" spans="2:14" x14ac:dyDescent="0.3">
      <c r="B18" s="35">
        <v>2023</v>
      </c>
      <c r="C18" s="6" t="s">
        <v>38</v>
      </c>
      <c r="D18" s="6" t="s">
        <v>26</v>
      </c>
      <c r="E18" s="6" t="s">
        <v>26</v>
      </c>
      <c r="F18" s="7">
        <f>HLOOKUP(E18,Table13[[#All],[Cereals and products]:[General index]],371,0)</f>
        <v>180.3</v>
      </c>
      <c r="G18" s="6">
        <f>HLOOKUP(E18,Table13[[#All],[Cereals and products]:[General index]],372,0)</f>
        <v>174.8</v>
      </c>
      <c r="H18" s="36">
        <f>HLOOKUP(E18,Table13[[#All],[Cereals and products]:[General index]],373,0)</f>
        <v>177.1</v>
      </c>
      <c r="J18" s="45" t="s">
        <v>26</v>
      </c>
      <c r="K18" s="54">
        <v>3.8050017188037126E-2</v>
      </c>
    </row>
    <row r="19" spans="2:14" ht="15" thickBot="1" x14ac:dyDescent="0.35">
      <c r="B19" s="35">
        <v>2023</v>
      </c>
      <c r="C19" s="6" t="s">
        <v>38</v>
      </c>
      <c r="D19" s="6" t="s">
        <v>58</v>
      </c>
      <c r="E19" s="6" t="s">
        <v>23</v>
      </c>
      <c r="F19" s="7">
        <f>HLOOKUP(E19,Table13[[#All],[Cereals and products]:[General index]],371,0)</f>
        <v>187.8</v>
      </c>
      <c r="G19" s="6">
        <f>HLOOKUP(E19,Table13[[#All],[Cereals and products]:[General index]],372,0)</f>
        <v>182.2</v>
      </c>
      <c r="H19" s="36">
        <f>HLOOKUP(E19,Table13[[#All],[Cereals and products]:[General index]],373,0)</f>
        <v>185.7</v>
      </c>
      <c r="J19" s="46" t="s">
        <v>54</v>
      </c>
      <c r="K19" s="54">
        <v>3.5407356479890004E-2</v>
      </c>
    </row>
    <row r="20" spans="2:14" ht="15" thickBot="1" x14ac:dyDescent="0.35">
      <c r="B20" s="35">
        <v>2023</v>
      </c>
      <c r="C20" s="6" t="s">
        <v>38</v>
      </c>
      <c r="D20" s="6" t="s">
        <v>58</v>
      </c>
      <c r="E20" s="6" t="s">
        <v>27</v>
      </c>
      <c r="F20" s="7">
        <f>HLOOKUP(E20,Table13[[#All],[Cereals and products]:[General index]],371,0)</f>
        <v>184.9</v>
      </c>
      <c r="G20" s="6">
        <f>HLOOKUP(E20,Table13[[#All],[Cereals and products]:[General index]],372,0)</f>
        <v>185.6</v>
      </c>
      <c r="H20" s="36">
        <f>HLOOKUP(E20,Table13[[#All],[Cereals and products]:[General index]],373,0)</f>
        <v>185.2</v>
      </c>
      <c r="J20" s="47" t="s">
        <v>52</v>
      </c>
      <c r="K20" s="55">
        <v>1</v>
      </c>
    </row>
    <row r="21" spans="2:14" ht="15" thickBot="1" x14ac:dyDescent="0.35">
      <c r="B21" s="35">
        <v>2023</v>
      </c>
      <c r="C21" s="6" t="s">
        <v>38</v>
      </c>
      <c r="D21" s="6" t="s">
        <v>59</v>
      </c>
      <c r="E21" s="6" t="s">
        <v>20</v>
      </c>
      <c r="F21" s="7">
        <f>HLOOKUP(E21,Table13[[#All],[Cereals and products]:[General index]],371,0)</f>
        <v>175.6</v>
      </c>
      <c r="G21" s="6">
        <f>HLOOKUP(E21,Table13[[#All],[Cereals and products]:[General index]],372,0)</f>
        <v>175.6</v>
      </c>
      <c r="H21" s="36">
        <f>HLOOKUP(E21,Table13[[#All],[Cereals and products]:[General index]],373,0)</f>
        <v>175.6</v>
      </c>
    </row>
    <row r="22" spans="2:14" ht="15" thickBot="1" x14ac:dyDescent="0.35">
      <c r="B22" s="35">
        <v>2023</v>
      </c>
      <c r="C22" s="6" t="s">
        <v>38</v>
      </c>
      <c r="D22" s="6" t="s">
        <v>59</v>
      </c>
      <c r="E22" s="6" t="s">
        <v>22</v>
      </c>
      <c r="F22" s="7">
        <f>HLOOKUP(E22,Table13[[#All],[Cereals and products]:[General index]],371,0)</f>
        <v>179.8</v>
      </c>
      <c r="G22" s="6">
        <f>HLOOKUP(E22,Table13[[#All],[Cereals and products]:[General index]],372,0)</f>
        <v>170.1</v>
      </c>
      <c r="H22" s="36">
        <f>HLOOKUP(E22,Table13[[#All],[Cereals and products]:[General index]],373,0)</f>
        <v>175.2</v>
      </c>
      <c r="J22" s="151" t="s">
        <v>66</v>
      </c>
      <c r="K22" s="152"/>
      <c r="L22" s="152"/>
      <c r="M22" s="152"/>
      <c r="N22" s="153"/>
    </row>
    <row r="23" spans="2:14" x14ac:dyDescent="0.3">
      <c r="B23" s="35">
        <v>2023</v>
      </c>
      <c r="C23" s="6" t="s">
        <v>38</v>
      </c>
      <c r="D23" s="6" t="s">
        <v>60</v>
      </c>
      <c r="E23" s="6" t="s">
        <v>17</v>
      </c>
      <c r="F23" s="7">
        <f>HLOOKUP(E23,Table13[[#All],[Cereals and products]:[General index]],371,0)</f>
        <v>191.2</v>
      </c>
      <c r="G23" s="6">
        <f>HLOOKUP(E23,Table13[[#All],[Cereals and products]:[General index]],372,0)</f>
        <v>181.3</v>
      </c>
      <c r="H23" s="36">
        <f>HLOOKUP(E23,Table13[[#All],[Cereals and products]:[General index]],373,0)</f>
        <v>187.3</v>
      </c>
      <c r="J23" s="154" t="s">
        <v>67</v>
      </c>
      <c r="K23" s="155"/>
      <c r="L23" s="155"/>
      <c r="M23" s="155"/>
      <c r="N23" s="156"/>
    </row>
    <row r="24" spans="2:14" x14ac:dyDescent="0.3">
      <c r="B24" s="35">
        <v>2023</v>
      </c>
      <c r="C24" s="6" t="s">
        <v>38</v>
      </c>
      <c r="D24" s="6" t="s">
        <v>60</v>
      </c>
      <c r="E24" s="6" t="s">
        <v>18</v>
      </c>
      <c r="F24" s="7">
        <f>HLOOKUP(E24,Table13[[#All],[Cereals and products]:[General index]],371,0)</f>
        <v>187.9</v>
      </c>
      <c r="G24" s="6">
        <f>HLOOKUP(E24,Table13[[#All],[Cereals and products]:[General index]],372,0)</f>
        <v>168.1</v>
      </c>
      <c r="H24" s="36">
        <f>HLOOKUP(E24,Table13[[#All],[Cereals and products]:[General index]],373,0)</f>
        <v>179.7</v>
      </c>
      <c r="J24" s="157" t="s">
        <v>68</v>
      </c>
      <c r="K24" s="158"/>
      <c r="L24" s="158"/>
      <c r="M24" s="158"/>
      <c r="N24" s="159"/>
    </row>
    <row r="25" spans="2:14" ht="14.4" customHeight="1" x14ac:dyDescent="0.3">
      <c r="B25" s="35">
        <v>2023</v>
      </c>
      <c r="C25" s="6" t="s">
        <v>38</v>
      </c>
      <c r="D25" s="6" t="s">
        <v>60</v>
      </c>
      <c r="E25" s="6" t="s">
        <v>19</v>
      </c>
      <c r="F25" s="7">
        <f>HLOOKUP(E25,Table13[[#All],[Cereals and products]:[General index]],371,0)</f>
        <v>190.8</v>
      </c>
      <c r="G25" s="6">
        <f>HLOOKUP(E25,Table13[[#All],[Cereals and products]:[General index]],372,0)</f>
        <v>179.3</v>
      </c>
      <c r="H25" s="36">
        <f>HLOOKUP(E25,Table13[[#All],[Cereals and products]:[General index]],373,0)</f>
        <v>186.2</v>
      </c>
      <c r="J25" s="148" t="s">
        <v>69</v>
      </c>
      <c r="K25" s="149"/>
      <c r="L25" s="149"/>
      <c r="M25" s="149"/>
      <c r="N25" s="150"/>
    </row>
    <row r="26" spans="2:14" x14ac:dyDescent="0.3">
      <c r="B26" s="35">
        <v>2023</v>
      </c>
      <c r="C26" s="6" t="s">
        <v>38</v>
      </c>
      <c r="D26" s="6" t="s">
        <v>61</v>
      </c>
      <c r="E26" s="6" t="s">
        <v>16</v>
      </c>
      <c r="F26" s="7">
        <f>HLOOKUP(E26,Table13[[#All],[Cereals and products]:[General index]],371,0)</f>
        <v>199.9</v>
      </c>
      <c r="G26" s="6">
        <f>HLOOKUP(E26,Table13[[#All],[Cereals and products]:[General index]],372,0)</f>
        <v>204.2</v>
      </c>
      <c r="H26" s="36">
        <f>HLOOKUP(E26,Table13[[#All],[Cereals and products]:[General index]],373,0)</f>
        <v>201</v>
      </c>
      <c r="J26" s="148"/>
      <c r="K26" s="149"/>
      <c r="L26" s="149"/>
      <c r="M26" s="149"/>
      <c r="N26" s="150"/>
    </row>
    <row r="27" spans="2:14" ht="15" thickBot="1" x14ac:dyDescent="0.35">
      <c r="B27" s="35">
        <v>2023</v>
      </c>
      <c r="C27" s="6" t="s">
        <v>38</v>
      </c>
      <c r="D27" s="6" t="s">
        <v>61</v>
      </c>
      <c r="E27" s="6" t="s">
        <v>25</v>
      </c>
      <c r="F27" s="7">
        <f>HLOOKUP(E27,Table13[[#All],[Cereals and products]:[General index]],371,0)</f>
        <v>173.8</v>
      </c>
      <c r="G27" s="6">
        <f>HLOOKUP(E27,Table13[[#All],[Cereals and products]:[General index]],372,0)</f>
        <v>169.2</v>
      </c>
      <c r="H27" s="36">
        <f>HLOOKUP(E27,Table13[[#All],[Cereals and products]:[General index]],373,0)</f>
        <v>171.2</v>
      </c>
      <c r="J27" s="145" t="s">
        <v>70</v>
      </c>
      <c r="K27" s="146"/>
      <c r="L27" s="146"/>
      <c r="M27" s="146"/>
      <c r="N27" s="147"/>
    </row>
    <row r="28" spans="2:14" ht="15" thickBot="1" x14ac:dyDescent="0.35">
      <c r="B28" s="37">
        <v>2023</v>
      </c>
      <c r="C28" s="38" t="s">
        <v>38</v>
      </c>
      <c r="D28" s="38" t="s">
        <v>61</v>
      </c>
      <c r="E28" s="38" t="s">
        <v>28</v>
      </c>
      <c r="F28" s="42">
        <f>HLOOKUP(E28,Table13[[#All],[Cereals and products]:[General index]],371,0)</f>
        <v>179.5</v>
      </c>
      <c r="G28" s="38">
        <f>HLOOKUP(E28,Table13[[#All],[Cereals and products]:[General index]],372,0)</f>
        <v>171.6</v>
      </c>
      <c r="H28" s="39">
        <f>HLOOKUP(E28,Table13[[#All],[Cereals and products]:[General index]],373,0)</f>
        <v>175.7</v>
      </c>
    </row>
  </sheetData>
  <mergeCells count="5">
    <mergeCell ref="J27:N27"/>
    <mergeCell ref="J25:N26"/>
    <mergeCell ref="J22:N22"/>
    <mergeCell ref="J23:N23"/>
    <mergeCell ref="J24:N24"/>
  </mergeCells>
  <phoneticPr fontId="19" type="noConversion"/>
  <conditionalFormatting pivot="1" sqref="K12:K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7592-4122-4659-9B00-C11D92547805}">
  <dimension ref="B1:G32"/>
  <sheetViews>
    <sheetView tabSelected="1" topLeftCell="A7" zoomScale="85" zoomScaleNormal="85" workbookViewId="0">
      <selection activeCell="I30" sqref="I30"/>
    </sheetView>
  </sheetViews>
  <sheetFormatPr defaultRowHeight="14.4" x14ac:dyDescent="0.3"/>
  <cols>
    <col min="1" max="1" width="3" customWidth="1"/>
    <col min="2" max="2" width="19.21875" bestFit="1" customWidth="1"/>
    <col min="3" max="3" width="16.21875" bestFit="1" customWidth="1"/>
    <col min="4" max="4" width="9.77734375" bestFit="1" customWidth="1"/>
    <col min="5" max="5" width="19.21875" bestFit="1" customWidth="1"/>
    <col min="6" max="6" width="3.33203125" customWidth="1"/>
    <col min="7" max="7" width="18.6640625" bestFit="1" customWidth="1"/>
    <col min="8" max="8" width="19.6640625" bestFit="1" customWidth="1"/>
    <col min="9" max="9" width="18.6640625" bestFit="1" customWidth="1"/>
    <col min="10" max="10" width="19.6640625" bestFit="1" customWidth="1"/>
    <col min="11" max="11" width="18.6640625" bestFit="1" customWidth="1"/>
    <col min="12" max="12" width="19.6640625" bestFit="1" customWidth="1"/>
    <col min="13" max="13" width="18.6640625" bestFit="1" customWidth="1"/>
    <col min="14" max="14" width="19.6640625" bestFit="1" customWidth="1"/>
    <col min="15" max="15" width="18.6640625" bestFit="1" customWidth="1"/>
    <col min="16" max="16" width="19.6640625" bestFit="1" customWidth="1"/>
    <col min="17" max="17" width="18.6640625" bestFit="1" customWidth="1"/>
    <col min="18" max="18" width="19.6640625" bestFit="1" customWidth="1"/>
    <col min="19" max="19" width="18.6640625" bestFit="1" customWidth="1"/>
    <col min="20" max="20" width="19.6640625" bestFit="1" customWidth="1"/>
    <col min="21" max="21" width="18.6640625" bestFit="1" customWidth="1"/>
    <col min="22" max="22" width="19.6640625" bestFit="1" customWidth="1"/>
    <col min="23" max="23" width="18.6640625" bestFit="1" customWidth="1"/>
    <col min="24" max="24" width="19.6640625" bestFit="1" customWidth="1"/>
    <col min="25" max="25" width="18.6640625" bestFit="1" customWidth="1"/>
    <col min="26" max="26" width="19.6640625" bestFit="1" customWidth="1"/>
  </cols>
  <sheetData>
    <row r="1" spans="2:5" ht="7.8" customHeight="1" thickBot="1" x14ac:dyDescent="0.35"/>
    <row r="2" spans="2:5" ht="15" thickBot="1" x14ac:dyDescent="0.35">
      <c r="B2" s="57" t="s">
        <v>0</v>
      </c>
      <c r="C2" s="58" t="s">
        <v>34</v>
      </c>
    </row>
    <row r="3" spans="2:5" ht="15" thickBot="1" x14ac:dyDescent="0.35"/>
    <row r="4" spans="2:5" x14ac:dyDescent="0.3">
      <c r="B4" s="49" t="s">
        <v>72</v>
      </c>
      <c r="C4" s="59" t="s">
        <v>71</v>
      </c>
      <c r="D4" s="50"/>
    </row>
    <row r="5" spans="2:5" x14ac:dyDescent="0.3">
      <c r="B5" s="60" t="s">
        <v>51</v>
      </c>
      <c r="C5" s="6" t="s">
        <v>31</v>
      </c>
      <c r="D5" s="36" t="s">
        <v>46</v>
      </c>
    </row>
    <row r="6" spans="2:5" x14ac:dyDescent="0.3">
      <c r="B6" s="51">
        <v>2016</v>
      </c>
      <c r="C6" s="61">
        <v>126.3</v>
      </c>
      <c r="D6" s="68">
        <v>130.4</v>
      </c>
    </row>
    <row r="7" spans="2:5" x14ac:dyDescent="0.3">
      <c r="B7" s="51">
        <v>2017</v>
      </c>
      <c r="C7" s="61">
        <v>130.30000000000001</v>
      </c>
      <c r="D7" s="68">
        <v>137.19999999999999</v>
      </c>
    </row>
    <row r="8" spans="2:5" x14ac:dyDescent="0.3">
      <c r="B8" s="51">
        <v>2018</v>
      </c>
      <c r="C8" s="61">
        <v>136.9</v>
      </c>
      <c r="D8" s="68">
        <v>140.1</v>
      </c>
    </row>
    <row r="9" spans="2:5" x14ac:dyDescent="0.3">
      <c r="B9" s="51">
        <v>2019</v>
      </c>
      <c r="C9" s="61">
        <v>139.6</v>
      </c>
      <c r="D9" s="68">
        <v>150.4</v>
      </c>
    </row>
    <row r="10" spans="2:5" x14ac:dyDescent="0.3">
      <c r="B10" s="51">
        <v>2020</v>
      </c>
      <c r="C10" s="61">
        <v>150.19999999999999</v>
      </c>
      <c r="D10" s="68">
        <v>158.9</v>
      </c>
    </row>
    <row r="11" spans="2:5" x14ac:dyDescent="0.3">
      <c r="B11" s="51">
        <v>2021</v>
      </c>
      <c r="C11" s="61">
        <v>157.30000000000001</v>
      </c>
      <c r="D11" s="68">
        <v>166.2</v>
      </c>
    </row>
    <row r="12" spans="2:5" x14ac:dyDescent="0.3">
      <c r="B12" s="51">
        <v>2022</v>
      </c>
      <c r="C12" s="61">
        <v>165.7</v>
      </c>
      <c r="D12" s="68">
        <v>175.7</v>
      </c>
    </row>
    <row r="13" spans="2:5" x14ac:dyDescent="0.3">
      <c r="B13" s="51">
        <v>2023</v>
      </c>
      <c r="C13" s="61">
        <v>176.5</v>
      </c>
      <c r="D13" s="68"/>
    </row>
    <row r="14" spans="2:5" ht="15" thickBot="1" x14ac:dyDescent="0.35">
      <c r="B14" s="52" t="s">
        <v>52</v>
      </c>
      <c r="C14" s="62">
        <v>1182.8</v>
      </c>
      <c r="D14" s="69">
        <v>1058.9000000000001</v>
      </c>
    </row>
    <row r="15" spans="2:5" ht="15" thickBot="1" x14ac:dyDescent="0.35"/>
    <row r="16" spans="2:5" ht="15" thickBot="1" x14ac:dyDescent="0.35">
      <c r="B16" s="64" t="s">
        <v>51</v>
      </c>
      <c r="C16" s="65" t="s">
        <v>31</v>
      </c>
      <c r="D16" s="65" t="s">
        <v>46</v>
      </c>
      <c r="E16" s="58" t="s">
        <v>75</v>
      </c>
    </row>
    <row r="17" spans="2:7" ht="15" thickBot="1" x14ac:dyDescent="0.35">
      <c r="B17">
        <v>2016</v>
      </c>
      <c r="C17">
        <v>126.3</v>
      </c>
      <c r="D17">
        <v>130.4</v>
      </c>
      <c r="E17" s="56">
        <f>(D17-C17)/C17</f>
        <v>3.2462391132224933E-2</v>
      </c>
    </row>
    <row r="18" spans="2:7" x14ac:dyDescent="0.3">
      <c r="B18" s="33">
        <v>2017</v>
      </c>
      <c r="C18" s="34">
        <v>130.30000000000001</v>
      </c>
      <c r="D18" s="34">
        <v>137.19999999999999</v>
      </c>
      <c r="E18" s="66">
        <f t="shared" ref="E18:E23" si="0">(D18-C18)/C18</f>
        <v>5.295471987720627E-2</v>
      </c>
    </row>
    <row r="19" spans="2:7" x14ac:dyDescent="0.3">
      <c r="B19" s="35">
        <v>2018</v>
      </c>
      <c r="C19" s="6">
        <v>136.9</v>
      </c>
      <c r="D19" s="6">
        <v>140.1</v>
      </c>
      <c r="E19" s="67">
        <f t="shared" si="0"/>
        <v>2.3374726077428697E-2</v>
      </c>
    </row>
    <row r="20" spans="2:7" x14ac:dyDescent="0.3">
      <c r="B20" s="35">
        <v>2019</v>
      </c>
      <c r="C20" s="6">
        <v>139.6</v>
      </c>
      <c r="D20" s="6">
        <v>150.4</v>
      </c>
      <c r="E20" s="67">
        <f t="shared" si="0"/>
        <v>7.7363896848137617E-2</v>
      </c>
    </row>
    <row r="21" spans="2:7" x14ac:dyDescent="0.3">
      <c r="B21" s="35">
        <v>2020</v>
      </c>
      <c r="C21" s="6">
        <v>150.19999999999999</v>
      </c>
      <c r="D21" s="6">
        <v>158.9</v>
      </c>
      <c r="E21" s="67">
        <f t="shared" si="0"/>
        <v>5.7922769640479481E-2</v>
      </c>
    </row>
    <row r="22" spans="2:7" x14ac:dyDescent="0.3">
      <c r="B22" s="35">
        <v>2021</v>
      </c>
      <c r="C22" s="6">
        <v>157.30000000000001</v>
      </c>
      <c r="D22" s="6">
        <v>166.2</v>
      </c>
      <c r="E22" s="67">
        <f t="shared" si="0"/>
        <v>5.657978385251098E-2</v>
      </c>
    </row>
    <row r="23" spans="2:7" x14ac:dyDescent="0.3">
      <c r="B23" s="35">
        <v>2022</v>
      </c>
      <c r="C23" s="6">
        <v>165.7</v>
      </c>
      <c r="D23" s="6">
        <v>175.7</v>
      </c>
      <c r="E23" s="67">
        <f t="shared" si="0"/>
        <v>6.0350030175015092E-2</v>
      </c>
    </row>
    <row r="24" spans="2:7" ht="15" thickBot="1" x14ac:dyDescent="0.35">
      <c r="B24" s="37">
        <v>2023</v>
      </c>
      <c r="C24" s="38">
        <v>176.5</v>
      </c>
      <c r="D24" s="38"/>
      <c r="E24" s="39"/>
    </row>
    <row r="25" spans="2:7" ht="15" thickBot="1" x14ac:dyDescent="0.35"/>
    <row r="26" spans="2:7" ht="28.8" customHeight="1" thickBot="1" x14ac:dyDescent="0.35">
      <c r="B26" s="160" t="s">
        <v>73</v>
      </c>
      <c r="C26" s="161"/>
      <c r="D26" s="161"/>
      <c r="E26" s="162"/>
    </row>
    <row r="27" spans="2:7" ht="15" thickBot="1" x14ac:dyDescent="0.35"/>
    <row r="28" spans="2:7" ht="15" thickBot="1" x14ac:dyDescent="0.35">
      <c r="B28" s="201" t="s">
        <v>128</v>
      </c>
    </row>
    <row r="29" spans="2:7" ht="15" thickBot="1" x14ac:dyDescent="0.35">
      <c r="B29" s="202" t="s">
        <v>130</v>
      </c>
      <c r="C29" s="203"/>
      <c r="D29" s="203"/>
      <c r="E29" s="203"/>
      <c r="F29" s="203"/>
      <c r="G29" s="204"/>
    </row>
    <row r="30" spans="2:7" ht="29.4" customHeight="1" x14ac:dyDescent="0.3">
      <c r="B30" s="191" t="s">
        <v>131</v>
      </c>
      <c r="C30" s="192"/>
      <c r="D30" s="192"/>
      <c r="E30" s="192"/>
      <c r="F30" s="192"/>
      <c r="G30" s="193"/>
    </row>
    <row r="31" spans="2:7" x14ac:dyDescent="0.3">
      <c r="B31" s="205" t="s">
        <v>132</v>
      </c>
      <c r="C31" s="206"/>
      <c r="D31" s="206"/>
      <c r="E31" s="206"/>
      <c r="F31" s="206"/>
      <c r="G31" s="207"/>
    </row>
    <row r="32" spans="2:7" ht="27.6" customHeight="1" thickBot="1" x14ac:dyDescent="0.35">
      <c r="B32" s="197" t="s">
        <v>133</v>
      </c>
      <c r="C32" s="198"/>
      <c r="D32" s="198"/>
      <c r="E32" s="198"/>
      <c r="F32" s="198"/>
      <c r="G32" s="199"/>
    </row>
  </sheetData>
  <mergeCells count="5">
    <mergeCell ref="B26:E26"/>
    <mergeCell ref="B29:G29"/>
    <mergeCell ref="B30:G30"/>
    <mergeCell ref="B31:G31"/>
    <mergeCell ref="B32:G32"/>
  </mergeCells>
  <conditionalFormatting sqref="E17:E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277A-13FB-44F8-A01F-C5534D858970}">
  <dimension ref="B1:Q47"/>
  <sheetViews>
    <sheetView topLeftCell="A10" zoomScale="55" zoomScaleNormal="55" workbookViewId="0">
      <selection activeCell="B29" sqref="B29:E29"/>
    </sheetView>
  </sheetViews>
  <sheetFormatPr defaultRowHeight="14.4" x14ac:dyDescent="0.3"/>
  <cols>
    <col min="1" max="1" width="2.109375" customWidth="1"/>
    <col min="2" max="2" width="12.44140625" bestFit="1" customWidth="1"/>
    <col min="3" max="4" width="15.5546875" bestFit="1" customWidth="1"/>
    <col min="5" max="5" width="17.33203125" customWidth="1"/>
    <col min="6" max="6" width="20" bestFit="1" customWidth="1"/>
    <col min="7" max="12" width="15.5546875" bestFit="1" customWidth="1"/>
    <col min="13" max="13" width="10.5546875" bestFit="1" customWidth="1"/>
  </cols>
  <sheetData>
    <row r="1" spans="2:17" ht="6.6" customHeight="1" x14ac:dyDescent="0.3"/>
    <row r="11" spans="2:17" x14ac:dyDescent="0.3">
      <c r="B11" s="72" t="s">
        <v>0</v>
      </c>
      <c r="C11" s="72" t="s">
        <v>1</v>
      </c>
      <c r="D11" s="72" t="s">
        <v>2</v>
      </c>
      <c r="E11" s="73" t="s">
        <v>57</v>
      </c>
      <c r="F11" s="6" t="s">
        <v>74</v>
      </c>
    </row>
    <row r="12" spans="2:17" x14ac:dyDescent="0.3">
      <c r="B12" s="6" t="s">
        <v>34</v>
      </c>
      <c r="C12" s="6">
        <v>2022</v>
      </c>
      <c r="D12" s="6" t="s">
        <v>39</v>
      </c>
      <c r="E12" s="6">
        <v>2261.9</v>
      </c>
      <c r="F12" s="74"/>
    </row>
    <row r="13" spans="2:17" x14ac:dyDescent="0.3">
      <c r="B13" s="6" t="s">
        <v>34</v>
      </c>
      <c r="C13" s="6">
        <v>2022</v>
      </c>
      <c r="D13" s="6" t="s">
        <v>40</v>
      </c>
      <c r="E13" s="6">
        <v>2266.3000000000002</v>
      </c>
      <c r="F13" s="74">
        <f>(E13-E12)/E13</f>
        <v>1.9414905352336807E-3</v>
      </c>
    </row>
    <row r="14" spans="2:17" x14ac:dyDescent="0.3">
      <c r="B14" s="6" t="s">
        <v>34</v>
      </c>
      <c r="C14" s="6">
        <v>2022</v>
      </c>
      <c r="D14" s="6" t="s">
        <v>41</v>
      </c>
      <c r="E14" s="6">
        <v>2269.2000000000003</v>
      </c>
      <c r="F14" s="74">
        <f t="shared" ref="F14:F23" si="0">(E14-E13)/E14</f>
        <v>1.2779834302838404E-3</v>
      </c>
    </row>
    <row r="15" spans="2:17" x14ac:dyDescent="0.3">
      <c r="B15" s="6" t="s">
        <v>34</v>
      </c>
      <c r="C15" s="6">
        <v>2022</v>
      </c>
      <c r="D15" s="6" t="s">
        <v>42</v>
      </c>
      <c r="E15" s="6">
        <v>2280.9</v>
      </c>
      <c r="F15" s="74">
        <f t="shared" si="0"/>
        <v>5.129554123372273E-3</v>
      </c>
    </row>
    <row r="16" spans="2:17" x14ac:dyDescent="0.3">
      <c r="B16" s="6" t="s">
        <v>34</v>
      </c>
      <c r="C16" s="6">
        <v>2022</v>
      </c>
      <c r="D16" s="6" t="s">
        <v>43</v>
      </c>
      <c r="E16" s="6">
        <v>2297.3000000000002</v>
      </c>
      <c r="F16" s="74">
        <f t="shared" si="0"/>
        <v>7.1388151308057679E-3</v>
      </c>
      <c r="Q16" s="75"/>
    </row>
    <row r="17" spans="2:6" x14ac:dyDescent="0.3">
      <c r="B17" s="6" t="s">
        <v>34</v>
      </c>
      <c r="C17" s="6">
        <v>2022</v>
      </c>
      <c r="D17" s="6" t="s">
        <v>45</v>
      </c>
      <c r="E17" s="6">
        <v>2296.8000000000002</v>
      </c>
      <c r="F17" s="74">
        <f t="shared" si="0"/>
        <v>-2.1769418321142457E-4</v>
      </c>
    </row>
    <row r="18" spans="2:6" x14ac:dyDescent="0.3">
      <c r="B18" s="6" t="s">
        <v>34</v>
      </c>
      <c r="C18" s="6">
        <v>2022</v>
      </c>
      <c r="D18" s="6" t="s">
        <v>46</v>
      </c>
      <c r="E18" s="6">
        <v>2283.4</v>
      </c>
      <c r="F18" s="74">
        <f t="shared" si="0"/>
        <v>-5.8684417973198259E-3</v>
      </c>
    </row>
    <row r="19" spans="2:6" x14ac:dyDescent="0.3">
      <c r="B19" s="6" t="s">
        <v>34</v>
      </c>
      <c r="C19" s="6">
        <v>2023</v>
      </c>
      <c r="D19" s="6" t="s">
        <v>31</v>
      </c>
      <c r="E19" s="6">
        <v>2292.6999999999998</v>
      </c>
      <c r="F19" s="74">
        <f t="shared" si="0"/>
        <v>4.0563527718409419E-3</v>
      </c>
    </row>
    <row r="20" spans="2:6" x14ac:dyDescent="0.3">
      <c r="B20" s="6" t="s">
        <v>34</v>
      </c>
      <c r="C20" s="6">
        <v>2023</v>
      </c>
      <c r="D20" s="6" t="s">
        <v>35</v>
      </c>
      <c r="E20" s="6">
        <v>2279.1</v>
      </c>
      <c r="F20" s="74">
        <f t="shared" si="0"/>
        <v>-5.9672677811416393E-3</v>
      </c>
    </row>
    <row r="21" spans="2:6" x14ac:dyDescent="0.3">
      <c r="B21" s="6" t="s">
        <v>34</v>
      </c>
      <c r="C21" s="6">
        <v>2023</v>
      </c>
      <c r="D21" s="6" t="s">
        <v>36</v>
      </c>
      <c r="E21" s="6">
        <v>2279.1999999999998</v>
      </c>
      <c r="F21" s="74">
        <f t="shared" si="0"/>
        <v>4.3875043875003974E-5</v>
      </c>
    </row>
    <row r="22" spans="2:6" x14ac:dyDescent="0.3">
      <c r="B22" s="6" t="s">
        <v>34</v>
      </c>
      <c r="C22" s="6">
        <v>2023</v>
      </c>
      <c r="D22" s="6" t="s">
        <v>37</v>
      </c>
      <c r="E22" s="6">
        <v>2289.6000000000004</v>
      </c>
      <c r="F22" s="74">
        <f t="shared" si="0"/>
        <v>4.5422781271840249E-3</v>
      </c>
    </row>
    <row r="23" spans="2:6" x14ac:dyDescent="0.3">
      <c r="B23" s="6" t="s">
        <v>34</v>
      </c>
      <c r="C23" s="6">
        <v>2023</v>
      </c>
      <c r="D23" s="6" t="s">
        <v>38</v>
      </c>
      <c r="E23" s="6">
        <v>2306.9</v>
      </c>
      <c r="F23" s="74">
        <f t="shared" si="0"/>
        <v>7.4992414062160159E-3</v>
      </c>
    </row>
    <row r="24" spans="2:6" x14ac:dyDescent="0.3">
      <c r="B24" s="6"/>
      <c r="C24" s="6"/>
      <c r="D24" s="6"/>
      <c r="E24" s="6"/>
      <c r="F24" s="74"/>
    </row>
    <row r="25" spans="2:6" x14ac:dyDescent="0.3">
      <c r="B25" s="77" t="s">
        <v>76</v>
      </c>
      <c r="C25" s="76"/>
      <c r="D25" s="76"/>
      <c r="E25" s="76"/>
      <c r="F25" s="74"/>
    </row>
    <row r="26" spans="2:6" x14ac:dyDescent="0.3">
      <c r="B26" s="166" t="s">
        <v>77</v>
      </c>
      <c r="C26" s="166"/>
      <c r="D26" s="166"/>
      <c r="E26" s="166"/>
      <c r="F26" s="74"/>
    </row>
    <row r="27" spans="2:6" x14ac:dyDescent="0.3">
      <c r="B27" s="167" t="s">
        <v>79</v>
      </c>
      <c r="C27" s="167"/>
      <c r="D27" s="76"/>
      <c r="E27" s="76"/>
      <c r="F27" s="74"/>
    </row>
    <row r="28" spans="2:6" x14ac:dyDescent="0.3">
      <c r="B28" s="167" t="s">
        <v>82</v>
      </c>
      <c r="C28" s="167"/>
      <c r="D28" s="76"/>
      <c r="E28" s="76"/>
      <c r="F28" s="74"/>
    </row>
    <row r="29" spans="2:6" x14ac:dyDescent="0.3">
      <c r="B29" s="166" t="s">
        <v>78</v>
      </c>
      <c r="C29" s="166"/>
      <c r="D29" s="166"/>
      <c r="E29" s="166"/>
      <c r="F29" s="74"/>
    </row>
    <row r="30" spans="2:6" x14ac:dyDescent="0.3">
      <c r="B30" s="168">
        <f>(E23-E12)/E12</f>
        <v>1.9894778725849948E-2</v>
      </c>
      <c r="C30" s="168"/>
      <c r="D30" s="76"/>
      <c r="E30" s="76"/>
      <c r="F30" s="74"/>
    </row>
    <row r="31" spans="2:6" x14ac:dyDescent="0.3">
      <c r="B31" s="169" t="s">
        <v>80</v>
      </c>
      <c r="C31" s="169"/>
      <c r="D31" s="169"/>
      <c r="E31" s="169"/>
      <c r="F31" s="74"/>
    </row>
    <row r="32" spans="2:6" x14ac:dyDescent="0.3">
      <c r="B32" s="163" t="s">
        <v>12</v>
      </c>
      <c r="C32" s="163"/>
      <c r="D32" s="76"/>
      <c r="E32" s="76"/>
      <c r="F32" s="74"/>
    </row>
    <row r="33" spans="2:17" ht="15" thickBot="1" x14ac:dyDescent="0.35"/>
    <row r="34" spans="2:17" ht="72.599999999999994" thickBot="1" x14ac:dyDescent="0.35">
      <c r="B34" s="92" t="s">
        <v>0</v>
      </c>
      <c r="C34" s="93" t="s">
        <v>1</v>
      </c>
      <c r="D34" s="93" t="s">
        <v>2</v>
      </c>
      <c r="E34" s="94" t="s">
        <v>3</v>
      </c>
      <c r="F34" s="94" t="s">
        <v>4</v>
      </c>
      <c r="G34" s="94" t="s">
        <v>5</v>
      </c>
      <c r="H34" s="94" t="s">
        <v>6</v>
      </c>
      <c r="I34" s="94" t="s">
        <v>7</v>
      </c>
      <c r="J34" s="94" t="s">
        <v>8</v>
      </c>
      <c r="K34" s="94" t="s">
        <v>9</v>
      </c>
      <c r="L34" s="94" t="s">
        <v>10</v>
      </c>
      <c r="M34" s="94" t="s">
        <v>11</v>
      </c>
      <c r="N34" s="94" t="s">
        <v>12</v>
      </c>
      <c r="O34" s="94" t="s">
        <v>13</v>
      </c>
      <c r="P34" s="94" t="s">
        <v>14</v>
      </c>
      <c r="Q34" s="95" t="s">
        <v>15</v>
      </c>
    </row>
    <row r="35" spans="2:17" x14ac:dyDescent="0.3">
      <c r="B35" s="88" t="s">
        <v>34</v>
      </c>
      <c r="C35" s="89">
        <v>2022</v>
      </c>
      <c r="D35" s="89" t="s">
        <v>39</v>
      </c>
      <c r="E35" s="90">
        <v>155</v>
      </c>
      <c r="F35" s="90">
        <v>219.4</v>
      </c>
      <c r="G35" s="90">
        <v>170.8</v>
      </c>
      <c r="H35" s="90">
        <v>165.8</v>
      </c>
      <c r="I35" s="90">
        <v>200.9</v>
      </c>
      <c r="J35" s="90">
        <v>169.7</v>
      </c>
      <c r="K35" s="90">
        <v>182.3</v>
      </c>
      <c r="L35" s="90">
        <v>164.3</v>
      </c>
      <c r="M35" s="90">
        <v>119.9</v>
      </c>
      <c r="N35" s="90">
        <v>187.1</v>
      </c>
      <c r="O35" s="90">
        <v>167.9</v>
      </c>
      <c r="P35" s="90">
        <v>183.9</v>
      </c>
      <c r="Q35" s="91">
        <v>174.9</v>
      </c>
    </row>
    <row r="36" spans="2:17" x14ac:dyDescent="0.3">
      <c r="B36" s="80" t="s">
        <v>34</v>
      </c>
      <c r="C36" s="1">
        <v>2022</v>
      </c>
      <c r="D36" s="1" t="s">
        <v>40</v>
      </c>
      <c r="E36" s="12">
        <v>156.5</v>
      </c>
      <c r="F36" s="12">
        <v>213</v>
      </c>
      <c r="G36" s="12">
        <v>175.2</v>
      </c>
      <c r="H36" s="12">
        <v>166.6</v>
      </c>
      <c r="I36" s="12">
        <v>195.8</v>
      </c>
      <c r="J36" s="12">
        <v>174.2</v>
      </c>
      <c r="K36" s="12">
        <v>182.1</v>
      </c>
      <c r="L36" s="12">
        <v>164.3</v>
      </c>
      <c r="M36" s="12">
        <v>120</v>
      </c>
      <c r="N36" s="12">
        <v>190</v>
      </c>
      <c r="O36" s="12">
        <v>168.4</v>
      </c>
      <c r="P36" s="12">
        <v>185.2</v>
      </c>
      <c r="Q36" s="81">
        <v>175</v>
      </c>
    </row>
    <row r="37" spans="2:17" x14ac:dyDescent="0.3">
      <c r="B37" s="78" t="s">
        <v>34</v>
      </c>
      <c r="C37" s="2">
        <v>2022</v>
      </c>
      <c r="D37" s="2" t="s">
        <v>41</v>
      </c>
      <c r="E37" s="13">
        <v>160.30000000000001</v>
      </c>
      <c r="F37" s="13">
        <v>206.5</v>
      </c>
      <c r="G37" s="13">
        <v>169.2</v>
      </c>
      <c r="H37" s="13">
        <v>168.1</v>
      </c>
      <c r="I37" s="13">
        <v>192.4</v>
      </c>
      <c r="J37" s="13">
        <v>172.9</v>
      </c>
      <c r="K37" s="13">
        <v>186.7</v>
      </c>
      <c r="L37" s="13">
        <v>167.2</v>
      </c>
      <c r="M37" s="13">
        <v>120.9</v>
      </c>
      <c r="N37" s="13">
        <v>193.6</v>
      </c>
      <c r="O37" s="13">
        <v>168.8</v>
      </c>
      <c r="P37" s="13">
        <v>186.3</v>
      </c>
      <c r="Q37" s="79">
        <v>176.3</v>
      </c>
    </row>
    <row r="38" spans="2:17" x14ac:dyDescent="0.3">
      <c r="B38" s="80" t="s">
        <v>34</v>
      </c>
      <c r="C38" s="1">
        <v>2022</v>
      </c>
      <c r="D38" s="1" t="s">
        <v>42</v>
      </c>
      <c r="E38" s="12">
        <v>163.5</v>
      </c>
      <c r="F38" s="12">
        <v>209.2</v>
      </c>
      <c r="G38" s="12">
        <v>169.7</v>
      </c>
      <c r="H38" s="12">
        <v>169.7</v>
      </c>
      <c r="I38" s="12">
        <v>188.7</v>
      </c>
      <c r="J38" s="12">
        <v>165.7</v>
      </c>
      <c r="K38" s="12">
        <v>191.8</v>
      </c>
      <c r="L38" s="12">
        <v>169.1</v>
      </c>
      <c r="M38" s="12">
        <v>121.6</v>
      </c>
      <c r="N38" s="12">
        <v>197.3</v>
      </c>
      <c r="O38" s="12">
        <v>169.4</v>
      </c>
      <c r="P38" s="12">
        <v>187.4</v>
      </c>
      <c r="Q38" s="81">
        <v>177.8</v>
      </c>
    </row>
    <row r="39" spans="2:17" x14ac:dyDescent="0.3">
      <c r="B39" s="78" t="s">
        <v>34</v>
      </c>
      <c r="C39" s="2">
        <v>2022</v>
      </c>
      <c r="D39" s="2" t="s">
        <v>43</v>
      </c>
      <c r="E39" s="13">
        <v>165.2</v>
      </c>
      <c r="F39" s="13">
        <v>210.9</v>
      </c>
      <c r="G39" s="13">
        <v>170.9</v>
      </c>
      <c r="H39" s="13">
        <v>170.9</v>
      </c>
      <c r="I39" s="13">
        <v>186.5</v>
      </c>
      <c r="J39" s="13">
        <v>163.80000000000001</v>
      </c>
      <c r="K39" s="13">
        <v>199.7</v>
      </c>
      <c r="L39" s="13">
        <v>169.8</v>
      </c>
      <c r="M39" s="13">
        <v>121.9</v>
      </c>
      <c r="N39" s="13">
        <v>199.9</v>
      </c>
      <c r="O39" s="13">
        <v>169.9</v>
      </c>
      <c r="P39" s="13">
        <v>188.3</v>
      </c>
      <c r="Q39" s="79">
        <v>179.6</v>
      </c>
    </row>
    <row r="40" spans="2:17" x14ac:dyDescent="0.3">
      <c r="B40" s="80" t="s">
        <v>34</v>
      </c>
      <c r="C40" s="1">
        <v>2022</v>
      </c>
      <c r="D40" s="1" t="s">
        <v>45</v>
      </c>
      <c r="E40" s="12">
        <v>167.4</v>
      </c>
      <c r="F40" s="12">
        <v>209.4</v>
      </c>
      <c r="G40" s="12">
        <v>181.4</v>
      </c>
      <c r="H40" s="12">
        <v>172.3</v>
      </c>
      <c r="I40" s="12">
        <v>188.9</v>
      </c>
      <c r="J40" s="12">
        <v>160.69999999999999</v>
      </c>
      <c r="K40" s="12">
        <v>183.1</v>
      </c>
      <c r="L40" s="12">
        <v>170.5</v>
      </c>
      <c r="M40" s="12">
        <v>122.1</v>
      </c>
      <c r="N40" s="12">
        <v>202.8</v>
      </c>
      <c r="O40" s="12">
        <v>170.4</v>
      </c>
      <c r="P40" s="12">
        <v>189.5</v>
      </c>
      <c r="Q40" s="81">
        <v>178.3</v>
      </c>
    </row>
    <row r="41" spans="2:17" x14ac:dyDescent="0.3">
      <c r="B41" s="78" t="s">
        <v>34</v>
      </c>
      <c r="C41" s="2">
        <v>2022</v>
      </c>
      <c r="D41" s="2" t="s">
        <v>46</v>
      </c>
      <c r="E41" s="13">
        <v>169.2</v>
      </c>
      <c r="F41" s="13">
        <v>209</v>
      </c>
      <c r="G41" s="13">
        <v>190.2</v>
      </c>
      <c r="H41" s="13">
        <v>173.6</v>
      </c>
      <c r="I41" s="13">
        <v>188.5</v>
      </c>
      <c r="J41" s="13">
        <v>158</v>
      </c>
      <c r="K41" s="13">
        <v>159.9</v>
      </c>
      <c r="L41" s="13">
        <v>170.8</v>
      </c>
      <c r="M41" s="13">
        <v>121.8</v>
      </c>
      <c r="N41" s="13">
        <v>205.2</v>
      </c>
      <c r="O41" s="13">
        <v>171</v>
      </c>
      <c r="P41" s="13">
        <v>190.3</v>
      </c>
      <c r="Q41" s="79">
        <v>175.9</v>
      </c>
    </row>
    <row r="42" spans="2:17" x14ac:dyDescent="0.3">
      <c r="B42" s="80" t="s">
        <v>34</v>
      </c>
      <c r="C42" s="1">
        <v>2023</v>
      </c>
      <c r="D42" s="1" t="s">
        <v>31</v>
      </c>
      <c r="E42" s="12">
        <v>173.8</v>
      </c>
      <c r="F42" s="12">
        <v>210.7</v>
      </c>
      <c r="G42" s="12">
        <v>194.5</v>
      </c>
      <c r="H42" s="12">
        <v>174.6</v>
      </c>
      <c r="I42" s="12">
        <v>187.2</v>
      </c>
      <c r="J42" s="12">
        <v>158.30000000000001</v>
      </c>
      <c r="K42" s="12">
        <v>153.9</v>
      </c>
      <c r="L42" s="12">
        <v>170.9</v>
      </c>
      <c r="M42" s="12">
        <v>121.1</v>
      </c>
      <c r="N42" s="12">
        <v>208.4</v>
      </c>
      <c r="O42" s="12">
        <v>171.4</v>
      </c>
      <c r="P42" s="12">
        <v>191.2</v>
      </c>
      <c r="Q42" s="81">
        <v>176.7</v>
      </c>
    </row>
    <row r="43" spans="2:17" x14ac:dyDescent="0.3">
      <c r="B43" s="78" t="s">
        <v>34</v>
      </c>
      <c r="C43" s="2">
        <v>2023</v>
      </c>
      <c r="D43" s="2" t="s">
        <v>35</v>
      </c>
      <c r="E43" s="13">
        <v>174.4</v>
      </c>
      <c r="F43" s="13">
        <v>207.7</v>
      </c>
      <c r="G43" s="13">
        <v>175.2</v>
      </c>
      <c r="H43" s="13">
        <v>177.3</v>
      </c>
      <c r="I43" s="13">
        <v>179.3</v>
      </c>
      <c r="J43" s="13">
        <v>169.5</v>
      </c>
      <c r="K43" s="13">
        <v>152.69999999999999</v>
      </c>
      <c r="L43" s="13">
        <v>171</v>
      </c>
      <c r="M43" s="13">
        <v>120</v>
      </c>
      <c r="N43" s="13">
        <v>209.7</v>
      </c>
      <c r="O43" s="13">
        <v>172.3</v>
      </c>
      <c r="P43" s="13">
        <v>193</v>
      </c>
      <c r="Q43" s="79">
        <v>177</v>
      </c>
    </row>
    <row r="44" spans="2:17" x14ac:dyDescent="0.3">
      <c r="B44" s="80" t="s">
        <v>34</v>
      </c>
      <c r="C44" s="1">
        <v>2023</v>
      </c>
      <c r="D44" s="1" t="s">
        <v>36</v>
      </c>
      <c r="E44" s="12">
        <v>174.4</v>
      </c>
      <c r="F44" s="12">
        <v>207.7</v>
      </c>
      <c r="G44" s="12">
        <v>175.2</v>
      </c>
      <c r="H44" s="12">
        <v>177.3</v>
      </c>
      <c r="I44" s="12">
        <v>179.2</v>
      </c>
      <c r="J44" s="12">
        <v>169.5</v>
      </c>
      <c r="K44" s="12">
        <v>152.80000000000001</v>
      </c>
      <c r="L44" s="12">
        <v>171.1</v>
      </c>
      <c r="M44" s="12">
        <v>120</v>
      </c>
      <c r="N44" s="12">
        <v>209.7</v>
      </c>
      <c r="O44" s="12">
        <v>172.3</v>
      </c>
      <c r="P44" s="12">
        <v>193</v>
      </c>
      <c r="Q44" s="81">
        <v>177</v>
      </c>
    </row>
    <row r="45" spans="2:17" x14ac:dyDescent="0.3">
      <c r="B45" s="78" t="s">
        <v>34</v>
      </c>
      <c r="C45" s="2">
        <v>2023</v>
      </c>
      <c r="D45" s="2" t="s">
        <v>37</v>
      </c>
      <c r="E45" s="13">
        <v>173.8</v>
      </c>
      <c r="F45" s="13">
        <v>209.3</v>
      </c>
      <c r="G45" s="13">
        <v>169.6</v>
      </c>
      <c r="H45" s="13">
        <v>178.4</v>
      </c>
      <c r="I45" s="13">
        <v>174.9</v>
      </c>
      <c r="J45" s="13">
        <v>176.3</v>
      </c>
      <c r="K45" s="13">
        <v>155.4</v>
      </c>
      <c r="L45" s="13">
        <v>173.4</v>
      </c>
      <c r="M45" s="13">
        <v>121.3</v>
      </c>
      <c r="N45" s="13">
        <v>212.9</v>
      </c>
      <c r="O45" s="13">
        <v>172.9</v>
      </c>
      <c r="P45" s="13">
        <v>193.5</v>
      </c>
      <c r="Q45" s="79">
        <v>177.9</v>
      </c>
    </row>
    <row r="46" spans="2:17" ht="15" thickBot="1" x14ac:dyDescent="0.35">
      <c r="B46" s="82" t="s">
        <v>34</v>
      </c>
      <c r="C46" s="83">
        <v>2023</v>
      </c>
      <c r="D46" s="83" t="s">
        <v>38</v>
      </c>
      <c r="E46" s="84">
        <v>173.7</v>
      </c>
      <c r="F46" s="84">
        <v>214.3</v>
      </c>
      <c r="G46" s="84">
        <v>173.2</v>
      </c>
      <c r="H46" s="84">
        <v>179.5</v>
      </c>
      <c r="I46" s="84">
        <v>170</v>
      </c>
      <c r="J46" s="84">
        <v>172.2</v>
      </c>
      <c r="K46" s="84">
        <v>161</v>
      </c>
      <c r="L46" s="84">
        <v>175.6</v>
      </c>
      <c r="M46" s="84">
        <v>122.7</v>
      </c>
      <c r="N46" s="84">
        <v>218</v>
      </c>
      <c r="O46" s="84">
        <v>173.4</v>
      </c>
      <c r="P46" s="84">
        <v>194.2</v>
      </c>
      <c r="Q46" s="85">
        <v>179.1</v>
      </c>
    </row>
    <row r="47" spans="2:17" ht="15" thickBot="1" x14ac:dyDescent="0.35">
      <c r="B47" s="164" t="s">
        <v>81</v>
      </c>
      <c r="C47" s="165"/>
      <c r="D47" s="165"/>
      <c r="E47" s="86">
        <f>(E46-E35)/E35</f>
        <v>0.1206451612903225</v>
      </c>
      <c r="F47" s="86">
        <f t="shared" ref="F47:Q47" si="1">(F46-F35)/F35</f>
        <v>-2.3245214220601614E-2</v>
      </c>
      <c r="G47" s="86">
        <f t="shared" si="1"/>
        <v>1.4051522248243426E-2</v>
      </c>
      <c r="H47" s="86">
        <f t="shared" si="1"/>
        <v>8.2629674306393175E-2</v>
      </c>
      <c r="I47" s="86">
        <f t="shared" si="1"/>
        <v>-0.15380786460925835</v>
      </c>
      <c r="J47" s="86">
        <f t="shared" si="1"/>
        <v>1.4731879787860933E-2</v>
      </c>
      <c r="K47" s="86">
        <f t="shared" si="1"/>
        <v>-0.11684037301151953</v>
      </c>
      <c r="L47" s="86">
        <f t="shared" si="1"/>
        <v>6.8776628119293873E-2</v>
      </c>
      <c r="M47" s="86">
        <f t="shared" si="1"/>
        <v>2.3352793994995805E-2</v>
      </c>
      <c r="N47" s="96">
        <f t="shared" si="1"/>
        <v>0.16515232495991453</v>
      </c>
      <c r="O47" s="86">
        <f t="shared" si="1"/>
        <v>3.2757593805836809E-2</v>
      </c>
      <c r="P47" s="86">
        <f t="shared" si="1"/>
        <v>5.6008700380641561E-2</v>
      </c>
      <c r="Q47" s="87">
        <f t="shared" si="1"/>
        <v>2.4013722126929607E-2</v>
      </c>
    </row>
  </sheetData>
  <mergeCells count="8">
    <mergeCell ref="B32:C32"/>
    <mergeCell ref="B47:D47"/>
    <mergeCell ref="B26:E26"/>
    <mergeCell ref="B27:C27"/>
    <mergeCell ref="B28:C28"/>
    <mergeCell ref="B29:E29"/>
    <mergeCell ref="B30:C30"/>
    <mergeCell ref="B31:E31"/>
  </mergeCells>
  <conditionalFormatting sqref="E35:Q3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6:Q4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7:Q47">
    <cfRule type="colorScale" priority="1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F12:F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FC871-B9A7-4432-BE29-03051DDDEA0B}">
  <dimension ref="B2:S59"/>
  <sheetViews>
    <sheetView zoomScale="85" zoomScaleNormal="85" workbookViewId="0">
      <selection sqref="A1:A1048576"/>
    </sheetView>
  </sheetViews>
  <sheetFormatPr defaultRowHeight="14.4" x14ac:dyDescent="0.3"/>
  <cols>
    <col min="1" max="1" width="3" customWidth="1"/>
    <col min="2" max="2" width="13.88671875" bestFit="1" customWidth="1"/>
    <col min="3" max="3" width="19.44140625" bestFit="1" customWidth="1"/>
    <col min="4" max="5" width="13.88671875" bestFit="1" customWidth="1"/>
    <col min="6" max="6" width="25.109375" bestFit="1" customWidth="1"/>
    <col min="7" max="7" width="11.21875" bestFit="1" customWidth="1"/>
    <col min="8" max="8" width="15.109375" bestFit="1" customWidth="1"/>
    <col min="9" max="9" width="16.6640625" bestFit="1" customWidth="1"/>
    <col min="10" max="10" width="18.77734375" bestFit="1" customWidth="1"/>
    <col min="11" max="11" width="11.6640625" bestFit="1" customWidth="1"/>
    <col min="12" max="12" width="5.77734375" customWidth="1"/>
    <col min="13" max="13" width="16.44140625" customWidth="1"/>
    <col min="14" max="14" width="31.6640625" customWidth="1"/>
    <col min="19" max="19" width="11.44140625" customWidth="1"/>
  </cols>
  <sheetData>
    <row r="2" spans="2:14" x14ac:dyDescent="0.3">
      <c r="B2" s="70" t="s">
        <v>0</v>
      </c>
      <c r="C2" s="70" t="s">
        <v>1</v>
      </c>
      <c r="D2" s="70" t="s">
        <v>2</v>
      </c>
      <c r="E2" s="71" t="s">
        <v>57</v>
      </c>
      <c r="F2" s="71" t="s">
        <v>58</v>
      </c>
      <c r="G2" s="70" t="s">
        <v>83</v>
      </c>
      <c r="H2" s="71" t="s">
        <v>87</v>
      </c>
      <c r="I2" s="71" t="s">
        <v>88</v>
      </c>
      <c r="J2" s="71" t="s">
        <v>86</v>
      </c>
      <c r="K2" s="104" t="s">
        <v>90</v>
      </c>
    </row>
    <row r="3" spans="2:14" x14ac:dyDescent="0.3">
      <c r="B3" s="98" t="s">
        <v>34</v>
      </c>
      <c r="C3" s="98">
        <v>2019</v>
      </c>
      <c r="D3" s="98" t="s">
        <v>31</v>
      </c>
      <c r="E3" s="98">
        <v>1753.3999999999999</v>
      </c>
      <c r="F3" s="99">
        <v>277.89999999999998</v>
      </c>
      <c r="G3" s="99">
        <f>SUM('Working Data'!W220,'Working Data'!V220,'Working Data'!T220,'Working Data'!Q220)</f>
        <v>592.70000000000005</v>
      </c>
      <c r="H3" s="98" t="s">
        <v>89</v>
      </c>
      <c r="I3" s="98" t="s">
        <v>89</v>
      </c>
      <c r="J3" s="98" t="s">
        <v>89</v>
      </c>
      <c r="K3" s="103"/>
    </row>
    <row r="4" spans="2:14" x14ac:dyDescent="0.3">
      <c r="B4" s="100" t="s">
        <v>34</v>
      </c>
      <c r="C4" s="100">
        <v>2019</v>
      </c>
      <c r="D4" s="100" t="s">
        <v>35</v>
      </c>
      <c r="E4" s="100">
        <v>1757.1</v>
      </c>
      <c r="F4" s="101">
        <v>279.7</v>
      </c>
      <c r="G4" s="101">
        <f>SUM('Working Data'!W221,'Working Data'!V221,'Working Data'!T221,'Working Data'!Q221)</f>
        <v>608.09999999999991</v>
      </c>
      <c r="H4" s="102">
        <f>(Table11[[#This Row],[Food &amp; Beverages]]-E3)/E3</f>
        <v>2.1101859244895891E-3</v>
      </c>
      <c r="I4" s="102">
        <f>(Table11[[#This Row],[Health and Personal care]]-F3)/F3</f>
        <v>6.4771500539762923E-3</v>
      </c>
      <c r="J4" s="102">
        <f>(Table11[[#This Row],[Essential]]-G3)/G3</f>
        <v>2.5982790619200037E-2</v>
      </c>
      <c r="K4" s="103" t="s">
        <v>91</v>
      </c>
    </row>
    <row r="5" spans="2:14" x14ac:dyDescent="0.3">
      <c r="B5" s="98" t="s">
        <v>34</v>
      </c>
      <c r="C5" s="98">
        <v>2019</v>
      </c>
      <c r="D5" s="98" t="s">
        <v>36</v>
      </c>
      <c r="E5" s="98">
        <v>1762.9</v>
      </c>
      <c r="F5" s="99">
        <v>279.60000000000002</v>
      </c>
      <c r="G5" s="99">
        <f>SUM('Working Data'!W222,'Working Data'!V222,'Working Data'!T222,'Working Data'!Q222)</f>
        <v>570</v>
      </c>
      <c r="H5" s="102">
        <f>(Table11[[#This Row],[Food &amp; Beverages]]-E4)/E4</f>
        <v>3.3008935177281785E-3</v>
      </c>
      <c r="I5" s="102">
        <f>(Table11[[#This Row],[Health and Personal care]]-F4)/F4</f>
        <v>-3.5752592062912369E-4</v>
      </c>
      <c r="J5" s="102">
        <f>(Table11[[#This Row],[Essential]]-G4)/G4</f>
        <v>-6.2654168722249493E-2</v>
      </c>
      <c r="K5" s="103" t="s">
        <v>91</v>
      </c>
    </row>
    <row r="6" spans="2:14" x14ac:dyDescent="0.3">
      <c r="B6" s="100" t="s">
        <v>34</v>
      </c>
      <c r="C6" s="100">
        <v>2019</v>
      </c>
      <c r="D6" s="100" t="s">
        <v>38</v>
      </c>
      <c r="E6" s="100">
        <v>1791.9000000000003</v>
      </c>
      <c r="F6" s="101">
        <v>280.3</v>
      </c>
      <c r="G6" s="101">
        <f>SUM('Working Data'!W223,'Working Data'!V223,'Working Data'!T223,'Working Data'!Q223)</f>
        <v>592</v>
      </c>
      <c r="H6" s="102">
        <f>(Table11[[#This Row],[Food &amp; Beverages]]-E5)/E5</f>
        <v>1.6450167337909254E-2</v>
      </c>
      <c r="I6" s="102">
        <f>(Table11[[#This Row],[Health and Personal care]]-F5)/F5</f>
        <v>2.5035765379112611E-3</v>
      </c>
      <c r="J6" s="102">
        <f>(Table11[[#This Row],[Essential]]-G5)/G5</f>
        <v>3.8596491228070177E-2</v>
      </c>
      <c r="K6" s="103" t="s">
        <v>91</v>
      </c>
    </row>
    <row r="7" spans="2:14" x14ac:dyDescent="0.3">
      <c r="B7" s="98" t="s">
        <v>34</v>
      </c>
      <c r="C7" s="98">
        <v>2019</v>
      </c>
      <c r="D7" s="98" t="s">
        <v>39</v>
      </c>
      <c r="E7" s="98">
        <v>1814.1000000000001</v>
      </c>
      <c r="F7" s="99">
        <v>281.70000000000005</v>
      </c>
      <c r="G7" s="99">
        <f>SUM('Working Data'!W224,'Working Data'!V224,'Working Data'!T224,'Working Data'!Q224)</f>
        <v>609.4</v>
      </c>
      <c r="H7" s="102">
        <f>(Table11[[#This Row],[Food &amp; Beverages]]-E6)/E6</f>
        <v>1.2389084212288529E-2</v>
      </c>
      <c r="I7" s="102">
        <f>(Table11[[#This Row],[Health and Personal care]]-F6)/F6</f>
        <v>4.9946485907956979E-3</v>
      </c>
      <c r="J7" s="102">
        <f>(Table11[[#This Row],[Essential]]-G6)/G6</f>
        <v>2.9391891891891852E-2</v>
      </c>
      <c r="K7" s="103" t="s">
        <v>91</v>
      </c>
    </row>
    <row r="8" spans="2:14" x14ac:dyDescent="0.3">
      <c r="B8" s="100" t="s">
        <v>34</v>
      </c>
      <c r="C8" s="100">
        <v>2019</v>
      </c>
      <c r="D8" s="100" t="s">
        <v>40</v>
      </c>
      <c r="E8" s="100">
        <v>1837.5</v>
      </c>
      <c r="F8" s="101">
        <v>283.60000000000002</v>
      </c>
      <c r="G8" s="101">
        <f>SUM('Working Data'!W225,'Working Data'!V225,'Working Data'!T225,'Working Data'!Q225)</f>
        <v>572.5</v>
      </c>
      <c r="H8" s="102">
        <f>(Table11[[#This Row],[Food &amp; Beverages]]-E7)/E7</f>
        <v>1.289895816107153E-2</v>
      </c>
      <c r="I8" s="102">
        <f>(Table11[[#This Row],[Health and Personal care]]-F7)/F7</f>
        <v>6.7447639332622539E-3</v>
      </c>
      <c r="J8" s="102">
        <f>(Table11[[#This Row],[Essential]]-G7)/G7</f>
        <v>-6.0551361995405284E-2</v>
      </c>
      <c r="K8" s="103" t="s">
        <v>91</v>
      </c>
    </row>
    <row r="9" spans="2:14" x14ac:dyDescent="0.3">
      <c r="B9" s="98" t="s">
        <v>34</v>
      </c>
      <c r="C9" s="98">
        <v>2019</v>
      </c>
      <c r="D9" s="98" t="s">
        <v>41</v>
      </c>
      <c r="E9" s="98">
        <v>1846.5</v>
      </c>
      <c r="F9" s="99">
        <v>286.89999999999998</v>
      </c>
      <c r="G9" s="99">
        <f>SUM('Working Data'!W226,'Working Data'!V226,'Working Data'!T226,'Working Data'!Q226)</f>
        <v>593.70000000000005</v>
      </c>
      <c r="H9" s="102">
        <f>(Table11[[#This Row],[Food &amp; Beverages]]-E8)/E8</f>
        <v>4.8979591836734691E-3</v>
      </c>
      <c r="I9" s="102">
        <f>(Table11[[#This Row],[Health and Personal care]]-F8)/F8</f>
        <v>1.1636107193229739E-2</v>
      </c>
      <c r="J9" s="102">
        <f>(Table11[[#This Row],[Essential]]-G8)/G8</f>
        <v>3.7030567685589599E-2</v>
      </c>
      <c r="K9" s="103" t="s">
        <v>91</v>
      </c>
    </row>
    <row r="10" spans="2:14" x14ac:dyDescent="0.3">
      <c r="B10" s="100" t="s">
        <v>34</v>
      </c>
      <c r="C10" s="100">
        <v>2019</v>
      </c>
      <c r="D10" s="100" t="s">
        <v>42</v>
      </c>
      <c r="E10" s="100">
        <v>1857.6999999999998</v>
      </c>
      <c r="F10" s="101">
        <v>288.7</v>
      </c>
      <c r="G10" s="101">
        <f>SUM('Working Data'!W227,'Working Data'!V227,'Working Data'!T227,'Working Data'!Q227)</f>
        <v>610.4</v>
      </c>
      <c r="H10" s="102">
        <f>(Table11[[#This Row],[Food &amp; Beverages]]-E9)/E9</f>
        <v>6.0655293799078353E-3</v>
      </c>
      <c r="I10" s="102">
        <f>(Table11[[#This Row],[Health and Personal care]]-F9)/F9</f>
        <v>6.2739630533287264E-3</v>
      </c>
      <c r="J10" s="102">
        <f>(Table11[[#This Row],[Essential]]-G9)/G9</f>
        <v>2.8128684520801635E-2</v>
      </c>
      <c r="K10" s="103" t="s">
        <v>91</v>
      </c>
    </row>
    <row r="11" spans="2:14" x14ac:dyDescent="0.3">
      <c r="B11" s="98" t="s">
        <v>34</v>
      </c>
      <c r="C11" s="98">
        <v>2019</v>
      </c>
      <c r="D11" s="98" t="s">
        <v>43</v>
      </c>
      <c r="E11" s="98">
        <v>1885.5999999999997</v>
      </c>
      <c r="F11" s="99">
        <v>289.39999999999998</v>
      </c>
      <c r="G11" s="99">
        <f>SUM('Working Data'!W228,'Working Data'!V228,'Working Data'!T228,'Working Data'!Q228)</f>
        <v>575</v>
      </c>
      <c r="H11" s="102">
        <f>(Table11[[#This Row],[Food &amp; Beverages]]-E10)/E10</f>
        <v>1.501857135167135E-2</v>
      </c>
      <c r="I11" s="102">
        <f>(Table11[[#This Row],[Health and Personal care]]-F10)/F10</f>
        <v>2.4246622791825032E-3</v>
      </c>
      <c r="J11" s="102">
        <f>(Table11[[#This Row],[Essential]]-G10)/G10</f>
        <v>-5.7994757536041906E-2</v>
      </c>
      <c r="K11" s="103" t="s">
        <v>91</v>
      </c>
      <c r="M11" s="97" t="s">
        <v>84</v>
      </c>
    </row>
    <row r="12" spans="2:14" ht="13.8" customHeight="1" x14ac:dyDescent="0.3">
      <c r="B12" s="100" t="s">
        <v>34</v>
      </c>
      <c r="C12" s="100">
        <v>2019</v>
      </c>
      <c r="D12" s="100" t="s">
        <v>45</v>
      </c>
      <c r="E12" s="100">
        <v>1910.9</v>
      </c>
      <c r="F12" s="101">
        <v>290.20000000000005</v>
      </c>
      <c r="G12" s="101">
        <f>SUM('Working Data'!W229,'Working Data'!V229,'Working Data'!T229,'Working Data'!Q229)</f>
        <v>595.4</v>
      </c>
      <c r="H12" s="102">
        <f>(Table11[[#This Row],[Food &amp; Beverages]]-E11)/E11</f>
        <v>1.3417479847263689E-2</v>
      </c>
      <c r="I12" s="102">
        <f>(Table11[[#This Row],[Health and Personal care]]-F11)/F11</f>
        <v>2.7643400138219359E-3</v>
      </c>
      <c r="J12" s="102">
        <f>(Table11[[#This Row],[Essential]]-G11)/G11</f>
        <v>3.5478260869565174E-2</v>
      </c>
      <c r="K12" s="103" t="s">
        <v>91</v>
      </c>
      <c r="M12" s="173" t="s">
        <v>85</v>
      </c>
      <c r="N12" s="174"/>
    </row>
    <row r="13" spans="2:14" x14ac:dyDescent="0.3">
      <c r="B13" s="98" t="s">
        <v>34</v>
      </c>
      <c r="C13" s="98">
        <v>2019</v>
      </c>
      <c r="D13" s="98" t="s">
        <v>46</v>
      </c>
      <c r="E13" s="98">
        <v>1946.1000000000001</v>
      </c>
      <c r="F13" s="99">
        <v>290.8</v>
      </c>
      <c r="G13" s="99">
        <f>SUM('Working Data'!W230,'Working Data'!V230,'Working Data'!T230,'Working Data'!Q230)</f>
        <v>612.29999999999995</v>
      </c>
      <c r="H13" s="102">
        <f>(Table11[[#This Row],[Food &amp; Beverages]]-E12)/E12</f>
        <v>1.8420639489245928E-2</v>
      </c>
      <c r="I13" s="102">
        <f>(Table11[[#This Row],[Health and Personal care]]-F12)/F12</f>
        <v>2.0675396278427493E-3</v>
      </c>
      <c r="J13" s="102">
        <f>(Table11[[#This Row],[Essential]]-G12)/G12</f>
        <v>2.8384279475982495E-2</v>
      </c>
      <c r="K13" s="103" t="s">
        <v>91</v>
      </c>
      <c r="M13" s="173"/>
      <c r="N13" s="174"/>
    </row>
    <row r="14" spans="2:14" x14ac:dyDescent="0.3">
      <c r="B14" s="100" t="s">
        <v>34</v>
      </c>
      <c r="C14" s="100">
        <v>2020</v>
      </c>
      <c r="D14" s="100" t="s">
        <v>31</v>
      </c>
      <c r="E14" s="100">
        <v>1940.3999999999999</v>
      </c>
      <c r="F14" s="101">
        <v>293.5</v>
      </c>
      <c r="G14" s="101">
        <f>SUM('Working Data'!W231,'Working Data'!V231,'Working Data'!T231,'Working Data'!Q231)</f>
        <v>577</v>
      </c>
      <c r="H14" s="102">
        <f>(Table11[[#This Row],[Food &amp; Beverages]]-E13)/E13</f>
        <v>-2.9289347926623878E-3</v>
      </c>
      <c r="I14" s="102">
        <f>(Table11[[#This Row],[Health and Personal care]]-F13)/F13</f>
        <v>9.2847317744153661E-3</v>
      </c>
      <c r="J14" s="102">
        <f>(Table11[[#This Row],[Essential]]-G13)/G13</f>
        <v>-5.7651478033643566E-2</v>
      </c>
      <c r="K14" s="103" t="s">
        <v>91</v>
      </c>
      <c r="M14" s="173"/>
      <c r="N14" s="174"/>
    </row>
    <row r="15" spans="2:14" x14ac:dyDescent="0.3">
      <c r="B15" s="98" t="s">
        <v>34</v>
      </c>
      <c r="C15" s="98">
        <v>2020</v>
      </c>
      <c r="D15" s="98" t="s">
        <v>35</v>
      </c>
      <c r="E15" s="98">
        <v>1911.6</v>
      </c>
      <c r="F15" s="99">
        <v>295.10000000000002</v>
      </c>
      <c r="G15" s="99">
        <f>SUM('Working Data'!W232,'Working Data'!V232,'Working Data'!T232,'Working Data'!Q232)</f>
        <v>597.29999999999995</v>
      </c>
      <c r="H15" s="102">
        <f>(Table11[[#This Row],[Food &amp; Beverages]]-E14)/E14</f>
        <v>-1.4842300556586249E-2</v>
      </c>
      <c r="I15" s="102">
        <f>(Table11[[#This Row],[Health and Personal care]]-F14)/F14</f>
        <v>5.4514480408859381E-3</v>
      </c>
      <c r="J15" s="102">
        <f>(Table11[[#This Row],[Essential]]-G14)/G14</f>
        <v>3.518197573656838E-2</v>
      </c>
      <c r="K15" s="103" t="s">
        <v>91</v>
      </c>
      <c r="M15" s="173"/>
      <c r="N15" s="174"/>
    </row>
    <row r="16" spans="2:14" ht="15" thickBot="1" x14ac:dyDescent="0.35">
      <c r="B16" s="106" t="s">
        <v>34</v>
      </c>
      <c r="C16" s="106">
        <v>2020</v>
      </c>
      <c r="D16" s="106" t="s">
        <v>36</v>
      </c>
      <c r="E16" s="106">
        <v>1895.4</v>
      </c>
      <c r="F16" s="107">
        <v>297.5</v>
      </c>
      <c r="G16" s="107">
        <f>SUM('Working Data'!W233,'Working Data'!V233,'Working Data'!T233,'Working Data'!Q233)</f>
        <v>612.20000000000005</v>
      </c>
      <c r="H16" s="105">
        <f>(Table11[[#This Row],[Food &amp; Beverages]]-E15)/E15</f>
        <v>-8.4745762711863452E-3</v>
      </c>
      <c r="I16" s="105">
        <f>(Table11[[#This Row],[Health and Personal care]]-F15)/F15</f>
        <v>8.1328363266688474E-3</v>
      </c>
      <c r="J16" s="105">
        <f>(Table11[[#This Row],[Essential]]-G15)/G15</f>
        <v>2.4945588481500237E-2</v>
      </c>
      <c r="K16" s="108" t="s">
        <v>93</v>
      </c>
    </row>
    <row r="17" spans="2:19" ht="15.6" x14ac:dyDescent="0.3">
      <c r="B17" s="98" t="s">
        <v>34</v>
      </c>
      <c r="C17" s="98">
        <v>2020</v>
      </c>
      <c r="D17" s="98" t="s">
        <v>37</v>
      </c>
      <c r="E17" s="98">
        <v>1949.35</v>
      </c>
      <c r="F17" s="99">
        <v>295.01666666666665</v>
      </c>
      <c r="G17" s="99">
        <f>SUM('Working Data'!W234,'Working Data'!V234,'Working Data'!T234,'Working Data'!Q234)</f>
        <v>574.59999999999991</v>
      </c>
      <c r="H17" s="102">
        <f>(Table11[[#This Row],[Food &amp; Beverages]]-E16)/E16</f>
        <v>2.8463648834019108E-2</v>
      </c>
      <c r="I17" s="102">
        <f>(Table11[[#This Row],[Health and Personal care]]-F16)/F16</f>
        <v>-8.3473389355742805E-3</v>
      </c>
      <c r="J17" s="102">
        <f>(Table11[[#This Row],[Essential]]-G16)/G16</f>
        <v>-6.1417837308069476E-2</v>
      </c>
      <c r="K17" s="103" t="s">
        <v>92</v>
      </c>
      <c r="M17" s="126" t="s">
        <v>100</v>
      </c>
      <c r="N17" s="124"/>
      <c r="O17" s="124"/>
      <c r="P17" s="124"/>
      <c r="Q17" s="124"/>
      <c r="R17" s="124"/>
      <c r="S17" s="125"/>
    </row>
    <row r="18" spans="2:19" x14ac:dyDescent="0.3">
      <c r="B18" s="100" t="s">
        <v>34</v>
      </c>
      <c r="C18" s="100">
        <v>2020</v>
      </c>
      <c r="D18" s="100" t="s">
        <v>38</v>
      </c>
      <c r="E18" s="101">
        <v>1923.7833333333335</v>
      </c>
      <c r="F18" s="101">
        <v>295.83333333333331</v>
      </c>
      <c r="G18" s="101">
        <f>SUM('Working Data'!W235,'Working Data'!V235,'Working Data'!T235,'Working Data'!Q235)</f>
        <v>596.29999999999995</v>
      </c>
      <c r="H18" s="102">
        <f>(Table11[[#This Row],[Food &amp; Beverages]]-E17)/E17</f>
        <v>-1.3115482938757217E-2</v>
      </c>
      <c r="I18" s="102">
        <f>(Table11[[#This Row],[Health and Personal care]]-F17)/F17</f>
        <v>2.7682051861476625E-3</v>
      </c>
      <c r="J18" s="102">
        <f>(Table11[[#This Row],[Essential]]-G17)/G17</f>
        <v>3.7765402018795767E-2</v>
      </c>
      <c r="K18" s="103" t="s">
        <v>92</v>
      </c>
      <c r="M18" s="35"/>
      <c r="N18" s="6"/>
      <c r="O18" s="6"/>
      <c r="P18" s="6"/>
      <c r="Q18" s="6"/>
      <c r="R18" s="6"/>
      <c r="S18" s="36"/>
    </row>
    <row r="19" spans="2:19" x14ac:dyDescent="0.3">
      <c r="B19" s="98" t="s">
        <v>34</v>
      </c>
      <c r="C19" s="98">
        <v>2020</v>
      </c>
      <c r="D19" s="98" t="s">
        <v>39</v>
      </c>
      <c r="E19" s="98">
        <v>1966.8000000000002</v>
      </c>
      <c r="F19" s="99">
        <v>306</v>
      </c>
      <c r="G19" s="99">
        <f>SUM('Working Data'!W236,'Working Data'!V236,'Working Data'!T236,'Working Data'!Q236)</f>
        <v>612.80000000000007</v>
      </c>
      <c r="H19" s="102">
        <f>(Table11[[#This Row],[Food &amp; Beverages]]-E18)/E18</f>
        <v>2.2360452926958155E-2</v>
      </c>
      <c r="I19" s="102">
        <f>(Table11[[#This Row],[Health and Personal care]]-F18)/F18</f>
        <v>3.4366197183098655E-2</v>
      </c>
      <c r="J19" s="102">
        <f>(Table11[[#This Row],[Essential]]-G18)/G18</f>
        <v>2.7670635586114566E-2</v>
      </c>
      <c r="K19" s="103" t="s">
        <v>92</v>
      </c>
      <c r="M19" s="127" t="s">
        <v>125</v>
      </c>
      <c r="N19" s="6"/>
      <c r="O19" s="6"/>
      <c r="P19" s="6"/>
      <c r="Q19" s="6"/>
      <c r="R19" s="6"/>
      <c r="S19" s="36"/>
    </row>
    <row r="20" spans="2:19" x14ac:dyDescent="0.3">
      <c r="B20" s="100" t="s">
        <v>34</v>
      </c>
      <c r="C20" s="100">
        <v>2020</v>
      </c>
      <c r="D20" s="100" t="s">
        <v>40</v>
      </c>
      <c r="E20" s="100">
        <v>1966.8000000000002</v>
      </c>
      <c r="F20" s="101">
        <v>306</v>
      </c>
      <c r="G20" s="101">
        <f>SUM('Working Data'!W237,'Working Data'!V237,'Working Data'!T237,'Working Data'!Q237)</f>
        <v>574.5</v>
      </c>
      <c r="H20" s="102">
        <f>(Table11[[#This Row],[Food &amp; Beverages]]-E19)/E19</f>
        <v>0</v>
      </c>
      <c r="I20" s="102">
        <f>(Table11[[#This Row],[Health and Personal care]]-F19)/F19</f>
        <v>0</v>
      </c>
      <c r="J20" s="102">
        <f>(Table11[[#This Row],[Essential]]-G19)/G19</f>
        <v>-6.2500000000000111E-2</v>
      </c>
      <c r="K20" s="103" t="s">
        <v>92</v>
      </c>
      <c r="M20" s="185" t="s">
        <v>101</v>
      </c>
      <c r="N20" s="186"/>
      <c r="O20" s="186"/>
      <c r="P20" s="186"/>
      <c r="Q20" s="186"/>
      <c r="R20" s="186"/>
      <c r="S20" s="187"/>
    </row>
    <row r="21" spans="2:19" x14ac:dyDescent="0.3">
      <c r="B21" s="98" t="s">
        <v>34</v>
      </c>
      <c r="C21" s="98">
        <v>2020</v>
      </c>
      <c r="D21" s="98" t="s">
        <v>41</v>
      </c>
      <c r="E21" s="98">
        <v>1995.1999999999998</v>
      </c>
      <c r="F21" s="99">
        <v>309.3</v>
      </c>
      <c r="G21" s="99">
        <f>SUM('Working Data'!W238,'Working Data'!V238,'Working Data'!T238,'Working Data'!Q238)</f>
        <v>596.70000000000005</v>
      </c>
      <c r="H21" s="102">
        <f>(Table11[[#This Row],[Food &amp; Beverages]]-E20)/E20</f>
        <v>1.4439699003457207E-2</v>
      </c>
      <c r="I21" s="102">
        <f>(Table11[[#This Row],[Health and Personal care]]-F20)/F20</f>
        <v>1.0784313725490234E-2</v>
      </c>
      <c r="J21" s="102">
        <f>(Table11[[#This Row],[Essential]]-G20)/G20</f>
        <v>3.8642297650130629E-2</v>
      </c>
      <c r="K21" s="103" t="s">
        <v>92</v>
      </c>
      <c r="M21" s="185" t="s">
        <v>102</v>
      </c>
      <c r="N21" s="186"/>
      <c r="O21" s="186"/>
      <c r="P21" s="186"/>
      <c r="Q21" s="186"/>
      <c r="R21" s="186"/>
      <c r="S21" s="187"/>
    </row>
    <row r="22" spans="2:19" x14ac:dyDescent="0.3">
      <c r="B22" s="100" t="s">
        <v>34</v>
      </c>
      <c r="C22" s="100">
        <v>2020</v>
      </c>
      <c r="D22" s="100" t="s">
        <v>42</v>
      </c>
      <c r="E22" s="100">
        <v>2007</v>
      </c>
      <c r="F22" s="101">
        <v>314</v>
      </c>
      <c r="G22" s="101">
        <f>SUM('Working Data'!W239,'Working Data'!V239,'Working Data'!T239,'Working Data'!Q239)</f>
        <v>613.90000000000009</v>
      </c>
      <c r="H22" s="102">
        <f>(Table11[[#This Row],[Food &amp; Beverages]]-E21)/E21</f>
        <v>5.9141940657579106E-3</v>
      </c>
      <c r="I22" s="102">
        <f>(Table11[[#This Row],[Health and Personal care]]-F21)/F21</f>
        <v>1.5195602974458417E-2</v>
      </c>
      <c r="J22" s="102">
        <f>(Table11[[#This Row],[Essential]]-G21)/G21</f>
        <v>2.8825205295793604E-2</v>
      </c>
      <c r="K22" s="103" t="s">
        <v>92</v>
      </c>
      <c r="M22" s="185" t="s">
        <v>103</v>
      </c>
      <c r="N22" s="186"/>
      <c r="O22" s="186"/>
      <c r="P22" s="186"/>
      <c r="Q22" s="186"/>
      <c r="R22" s="186"/>
      <c r="S22" s="187"/>
    </row>
    <row r="23" spans="2:19" x14ac:dyDescent="0.3">
      <c r="B23" s="98" t="s">
        <v>34</v>
      </c>
      <c r="C23" s="98">
        <v>2020</v>
      </c>
      <c r="D23" s="98" t="s">
        <v>43</v>
      </c>
      <c r="E23" s="98">
        <v>2048.6000000000004</v>
      </c>
      <c r="F23" s="99">
        <v>313.3</v>
      </c>
      <c r="G23" s="99">
        <f>SUM('Working Data'!W240,'Working Data'!V240,'Working Data'!T240,'Working Data'!Q240)</f>
        <v>576.79999999999995</v>
      </c>
      <c r="H23" s="102">
        <f>(Table11[[#This Row],[Food &amp; Beverages]]-E22)/E22</f>
        <v>2.0727453911310596E-2</v>
      </c>
      <c r="I23" s="102">
        <f>(Table11[[#This Row],[Health and Personal care]]-F22)/F22</f>
        <v>-2.2292993630572888E-3</v>
      </c>
      <c r="J23" s="102">
        <f>(Table11[[#This Row],[Essential]]-G22)/G22</f>
        <v>-6.0433295324971707E-2</v>
      </c>
      <c r="K23" s="103" t="s">
        <v>92</v>
      </c>
      <c r="M23" s="35"/>
      <c r="N23" s="6"/>
      <c r="O23" s="6"/>
      <c r="P23" s="6"/>
      <c r="Q23" s="6"/>
      <c r="R23" s="6"/>
      <c r="S23" s="36"/>
    </row>
    <row r="24" spans="2:19" x14ac:dyDescent="0.3">
      <c r="B24" s="100" t="s">
        <v>34</v>
      </c>
      <c r="C24" s="100">
        <v>2020</v>
      </c>
      <c r="D24" s="100" t="s">
        <v>45</v>
      </c>
      <c r="E24" s="100">
        <v>2095.6</v>
      </c>
      <c r="F24" s="101">
        <v>314.10000000000002</v>
      </c>
      <c r="G24" s="101">
        <f>SUM('Working Data'!W241,'Working Data'!V241,'Working Data'!T241,'Working Data'!Q241)</f>
        <v>598.19999999999993</v>
      </c>
      <c r="H24" s="102">
        <f>(Table11[[#This Row],[Food &amp; Beverages]]-E23)/E23</f>
        <v>2.2942497315239448E-2</v>
      </c>
      <c r="I24" s="102">
        <f>(Table11[[#This Row],[Health and Personal care]]-F23)/F23</f>
        <v>2.5534631343760335E-3</v>
      </c>
      <c r="J24" s="102">
        <f>(Table11[[#This Row],[Essential]]-G23)/G23</f>
        <v>3.7101248266296773E-2</v>
      </c>
      <c r="K24" s="103" t="s">
        <v>92</v>
      </c>
      <c r="M24" s="127" t="s">
        <v>126</v>
      </c>
      <c r="N24" s="6"/>
      <c r="O24" s="6"/>
      <c r="P24" s="6"/>
      <c r="Q24" s="6"/>
      <c r="R24" s="6"/>
      <c r="S24" s="36"/>
    </row>
    <row r="25" spans="2:19" x14ac:dyDescent="0.3">
      <c r="B25" s="98" t="s">
        <v>34</v>
      </c>
      <c r="C25" s="98">
        <v>2020</v>
      </c>
      <c r="D25" s="98" t="s">
        <v>46</v>
      </c>
      <c r="E25" s="98">
        <v>2109.1</v>
      </c>
      <c r="F25" s="99">
        <v>315.39999999999998</v>
      </c>
      <c r="G25" s="99">
        <f>SUM('Working Data'!W242,'Working Data'!V242,'Working Data'!T242,'Working Data'!Q242)</f>
        <v>615.59999999999991</v>
      </c>
      <c r="H25" s="102">
        <f>(Table11[[#This Row],[Food &amp; Beverages]]-E24)/E24</f>
        <v>6.4420690971559464E-3</v>
      </c>
      <c r="I25" s="102">
        <f>(Table11[[#This Row],[Health and Personal care]]-F24)/F24</f>
        <v>4.1388092964022745E-3</v>
      </c>
      <c r="J25" s="102">
        <f>(Table11[[#This Row],[Essential]]-G24)/G24</f>
        <v>2.9087261785356033E-2</v>
      </c>
      <c r="K25" s="103" t="s">
        <v>92</v>
      </c>
      <c r="M25" s="185" t="s">
        <v>104</v>
      </c>
      <c r="N25" s="186"/>
      <c r="O25" s="186"/>
      <c r="P25" s="186"/>
      <c r="Q25" s="186"/>
      <c r="R25" s="186"/>
      <c r="S25" s="187"/>
    </row>
    <row r="26" spans="2:19" x14ac:dyDescent="0.3">
      <c r="B26" s="100" t="s">
        <v>34</v>
      </c>
      <c r="C26" s="100">
        <v>2021</v>
      </c>
      <c r="D26" s="100" t="s">
        <v>31</v>
      </c>
      <c r="E26" s="100">
        <v>2076.5</v>
      </c>
      <c r="F26" s="101">
        <v>316.10000000000002</v>
      </c>
      <c r="G26" s="101">
        <f>SUM('Working Data'!W243,'Working Data'!V243,'Working Data'!T243,'Working Data'!Q243)</f>
        <v>580.79999999999995</v>
      </c>
      <c r="H26" s="102">
        <f>(Table11[[#This Row],[Food &amp; Beverages]]-E25)/E25</f>
        <v>-1.5456829927457167E-2</v>
      </c>
      <c r="I26" s="102">
        <f>(Table11[[#This Row],[Health and Personal care]]-F25)/F25</f>
        <v>2.2194039315156801E-3</v>
      </c>
      <c r="J26" s="102">
        <f>(Table11[[#This Row],[Essential]]-G25)/G25</f>
        <v>-5.6530214424951201E-2</v>
      </c>
      <c r="K26" s="103" t="s">
        <v>92</v>
      </c>
      <c r="M26" s="121" t="s">
        <v>105</v>
      </c>
      <c r="N26" s="6"/>
      <c r="O26" s="6"/>
      <c r="P26" s="6"/>
      <c r="Q26" s="6"/>
      <c r="R26" s="6"/>
      <c r="S26" s="36"/>
    </row>
    <row r="27" spans="2:19" x14ac:dyDescent="0.3">
      <c r="B27" s="98" t="s">
        <v>34</v>
      </c>
      <c r="C27" s="98">
        <v>2021</v>
      </c>
      <c r="D27" s="98" t="s">
        <v>35</v>
      </c>
      <c r="E27" s="98">
        <v>2039.3000000000002</v>
      </c>
      <c r="F27" s="99">
        <v>317.10000000000002</v>
      </c>
      <c r="G27" s="99">
        <f>SUM('Working Data'!W244,'Working Data'!V244,'Working Data'!T244,'Working Data'!Q244)</f>
        <v>600.9</v>
      </c>
      <c r="H27" s="102">
        <f>(Table11[[#This Row],[Food &amp; Beverages]]-E26)/E26</f>
        <v>-1.7914760414158352E-2</v>
      </c>
      <c r="I27" s="102">
        <f>(Table11[[#This Row],[Health and Personal care]]-F26)/F26</f>
        <v>3.1635558367605187E-3</v>
      </c>
      <c r="J27" s="102">
        <f>(Table11[[#This Row],[Essential]]-G26)/G26</f>
        <v>3.460743801652897E-2</v>
      </c>
      <c r="K27" s="103" t="s">
        <v>92</v>
      </c>
      <c r="M27" s="185" t="s">
        <v>106</v>
      </c>
      <c r="N27" s="186"/>
      <c r="O27" s="186"/>
      <c r="P27" s="186"/>
      <c r="Q27" s="186"/>
      <c r="R27" s="186"/>
      <c r="S27" s="187"/>
    </row>
    <row r="28" spans="2:19" x14ac:dyDescent="0.3">
      <c r="B28" s="100" t="s">
        <v>34</v>
      </c>
      <c r="C28" s="100">
        <v>2021</v>
      </c>
      <c r="D28" s="100" t="s">
        <v>36</v>
      </c>
      <c r="E28" s="100">
        <v>2039.3999999999999</v>
      </c>
      <c r="F28" s="101">
        <v>315.5</v>
      </c>
      <c r="G28" s="101">
        <f>SUM('Working Data'!W245,'Working Data'!V245,'Working Data'!T245,'Working Data'!Q245)</f>
        <v>618</v>
      </c>
      <c r="H28" s="102">
        <f>(Table11[[#This Row],[Food &amp; Beverages]]-E27)/E27</f>
        <v>4.9036434070358294E-5</v>
      </c>
      <c r="I28" s="102">
        <f>(Table11[[#This Row],[Health and Personal care]]-F27)/F27</f>
        <v>-5.0457269000316069E-3</v>
      </c>
      <c r="J28" s="102">
        <f>(Table11[[#This Row],[Essential]]-G27)/G27</f>
        <v>2.8457314028956605E-2</v>
      </c>
      <c r="K28" s="103" t="s">
        <v>92</v>
      </c>
      <c r="M28" s="122"/>
      <c r="N28" s="6"/>
      <c r="O28" s="6"/>
      <c r="P28" s="6"/>
      <c r="Q28" s="6"/>
      <c r="R28" s="6"/>
      <c r="S28" s="36"/>
    </row>
    <row r="29" spans="2:19" x14ac:dyDescent="0.3">
      <c r="M29" s="127" t="s">
        <v>127</v>
      </c>
      <c r="N29" s="6"/>
      <c r="O29" s="6"/>
      <c r="P29" s="6"/>
      <c r="Q29" s="6"/>
      <c r="R29" s="6"/>
      <c r="S29" s="36"/>
    </row>
    <row r="30" spans="2:19" x14ac:dyDescent="0.3">
      <c r="M30" s="185" t="s">
        <v>107</v>
      </c>
      <c r="N30" s="186"/>
      <c r="O30" s="186"/>
      <c r="P30" s="186"/>
      <c r="Q30" s="186"/>
      <c r="R30" s="186"/>
      <c r="S30" s="187"/>
    </row>
    <row r="31" spans="2:19" x14ac:dyDescent="0.3">
      <c r="M31" s="185" t="s">
        <v>108</v>
      </c>
      <c r="N31" s="186"/>
      <c r="O31" s="186"/>
      <c r="P31" s="186"/>
      <c r="Q31" s="186"/>
      <c r="R31" s="186"/>
      <c r="S31" s="187"/>
    </row>
    <row r="32" spans="2:19" ht="15" thickBot="1" x14ac:dyDescent="0.35">
      <c r="M32" s="188" t="s">
        <v>109</v>
      </c>
      <c r="N32" s="189"/>
      <c r="O32" s="189"/>
      <c r="P32" s="189"/>
      <c r="Q32" s="189"/>
      <c r="R32" s="189"/>
      <c r="S32" s="190"/>
    </row>
    <row r="33" spans="13:19" ht="15" thickBot="1" x14ac:dyDescent="0.35"/>
    <row r="34" spans="13:19" ht="16.2" thickBot="1" x14ac:dyDescent="0.35">
      <c r="M34" s="129" t="s">
        <v>110</v>
      </c>
      <c r="N34" s="130"/>
      <c r="O34" s="130"/>
      <c r="P34" s="130"/>
      <c r="Q34" s="130"/>
      <c r="R34" s="130"/>
      <c r="S34" s="131"/>
    </row>
    <row r="35" spans="13:19" x14ac:dyDescent="0.3">
      <c r="M35" s="35"/>
      <c r="N35" s="6"/>
      <c r="O35" s="6"/>
      <c r="P35" s="6"/>
      <c r="Q35" s="6"/>
      <c r="R35" s="6"/>
      <c r="S35" s="36"/>
    </row>
    <row r="36" spans="13:19" x14ac:dyDescent="0.3">
      <c r="M36" s="132" t="s">
        <v>111</v>
      </c>
      <c r="N36" s="6"/>
      <c r="O36" s="6"/>
      <c r="P36" s="6"/>
      <c r="Q36" s="6"/>
      <c r="R36" s="6"/>
      <c r="S36" s="36"/>
    </row>
    <row r="37" spans="13:19" x14ac:dyDescent="0.3">
      <c r="M37" s="121" t="s">
        <v>112</v>
      </c>
      <c r="N37" s="6"/>
      <c r="O37" s="6"/>
      <c r="P37" s="6"/>
      <c r="Q37" s="6"/>
      <c r="R37" s="6"/>
      <c r="S37" s="36"/>
    </row>
    <row r="38" spans="13:19" ht="25.8" customHeight="1" x14ac:dyDescent="0.3">
      <c r="M38" s="178" t="s">
        <v>113</v>
      </c>
      <c r="N38" s="179"/>
      <c r="O38" s="179"/>
      <c r="P38" s="179"/>
      <c r="Q38" s="179"/>
      <c r="R38" s="179"/>
      <c r="S38" s="180"/>
    </row>
    <row r="39" spans="13:19" x14ac:dyDescent="0.3">
      <c r="M39" s="121" t="s">
        <v>114</v>
      </c>
      <c r="N39" s="6"/>
      <c r="O39" s="6"/>
      <c r="P39" s="6"/>
      <c r="Q39" s="6"/>
      <c r="R39" s="6"/>
      <c r="S39" s="36"/>
    </row>
    <row r="40" spans="13:19" x14ac:dyDescent="0.3">
      <c r="M40" s="35"/>
      <c r="N40" s="6"/>
      <c r="O40" s="6"/>
      <c r="P40" s="6"/>
      <c r="Q40" s="6"/>
      <c r="R40" s="6"/>
      <c r="S40" s="36"/>
    </row>
    <row r="41" spans="13:19" x14ac:dyDescent="0.3">
      <c r="M41" s="132" t="s">
        <v>115</v>
      </c>
      <c r="N41" s="6"/>
      <c r="O41" s="6"/>
      <c r="P41" s="6"/>
      <c r="Q41" s="6"/>
      <c r="R41" s="6"/>
      <c r="S41" s="36"/>
    </row>
    <row r="42" spans="13:19" ht="27" customHeight="1" x14ac:dyDescent="0.3">
      <c r="M42" s="175" t="s">
        <v>116</v>
      </c>
      <c r="N42" s="176"/>
      <c r="O42" s="176"/>
      <c r="P42" s="176"/>
      <c r="Q42" s="176"/>
      <c r="R42" s="176"/>
      <c r="S42" s="177"/>
    </row>
    <row r="43" spans="13:19" x14ac:dyDescent="0.3">
      <c r="M43" s="121" t="s">
        <v>117</v>
      </c>
      <c r="N43" s="133"/>
      <c r="O43" s="133"/>
      <c r="P43" s="133"/>
      <c r="Q43" s="133"/>
      <c r="R43" s="133"/>
      <c r="S43" s="134"/>
    </row>
    <row r="44" spans="13:19" x14ac:dyDescent="0.3">
      <c r="M44" s="35"/>
      <c r="N44" s="6"/>
      <c r="O44" s="6"/>
      <c r="P44" s="6"/>
      <c r="Q44" s="6"/>
      <c r="R44" s="6"/>
      <c r="S44" s="36"/>
    </row>
    <row r="45" spans="13:19" x14ac:dyDescent="0.3">
      <c r="M45" s="132" t="s">
        <v>118</v>
      </c>
      <c r="N45" s="6"/>
      <c r="O45" s="6"/>
      <c r="P45" s="6"/>
      <c r="Q45" s="6"/>
      <c r="R45" s="6"/>
      <c r="S45" s="36"/>
    </row>
    <row r="46" spans="13:19" x14ac:dyDescent="0.3">
      <c r="M46" s="121" t="s">
        <v>119</v>
      </c>
      <c r="N46" s="6"/>
      <c r="O46" s="6"/>
      <c r="P46" s="6"/>
      <c r="Q46" s="6"/>
      <c r="R46" s="6"/>
      <c r="S46" s="36"/>
    </row>
    <row r="47" spans="13:19" ht="30" customHeight="1" thickBot="1" x14ac:dyDescent="0.35">
      <c r="M47" s="181" t="s">
        <v>120</v>
      </c>
      <c r="N47" s="182"/>
      <c r="O47" s="182"/>
      <c r="P47" s="182"/>
      <c r="Q47" s="182"/>
      <c r="R47" s="182"/>
      <c r="S47" s="183"/>
    </row>
    <row r="48" spans="13:19" ht="15" thickBot="1" x14ac:dyDescent="0.35">
      <c r="M48" s="120"/>
    </row>
    <row r="49" spans="13:19" ht="18.600000000000001" thickBot="1" x14ac:dyDescent="0.35">
      <c r="M49" s="138" t="s">
        <v>129</v>
      </c>
      <c r="N49" s="130"/>
      <c r="O49" s="130"/>
      <c r="P49" s="130"/>
      <c r="Q49" s="130"/>
      <c r="R49" s="130"/>
      <c r="S49" s="131"/>
    </row>
    <row r="50" spans="13:19" x14ac:dyDescent="0.3">
      <c r="M50" s="122"/>
      <c r="N50" s="6"/>
      <c r="O50" s="6"/>
      <c r="P50" s="6"/>
      <c r="Q50" s="6"/>
      <c r="R50" s="6"/>
      <c r="S50" s="36"/>
    </row>
    <row r="51" spans="13:19" x14ac:dyDescent="0.3">
      <c r="M51" s="135" t="s">
        <v>121</v>
      </c>
      <c r="N51" s="133"/>
      <c r="O51" s="133"/>
      <c r="P51" s="133"/>
      <c r="Q51" s="133"/>
      <c r="R51" s="133"/>
      <c r="S51" s="134"/>
    </row>
    <row r="52" spans="13:19" x14ac:dyDescent="0.3">
      <c r="M52" s="121"/>
      <c r="N52" s="133"/>
      <c r="O52" s="133"/>
      <c r="P52" s="133"/>
      <c r="Q52" s="133"/>
      <c r="R52" s="133"/>
      <c r="S52" s="134"/>
    </row>
    <row r="53" spans="13:19" x14ac:dyDescent="0.3">
      <c r="M53" s="135" t="s">
        <v>122</v>
      </c>
      <c r="N53" s="133"/>
      <c r="O53" s="133"/>
      <c r="P53" s="133"/>
      <c r="Q53" s="133"/>
      <c r="R53" s="133"/>
      <c r="S53" s="134"/>
    </row>
    <row r="54" spans="13:19" x14ac:dyDescent="0.3">
      <c r="M54" s="121"/>
      <c r="N54" s="133"/>
      <c r="O54" s="133"/>
      <c r="P54" s="133"/>
      <c r="Q54" s="133"/>
      <c r="R54" s="133"/>
      <c r="S54" s="134"/>
    </row>
    <row r="55" spans="13:19" ht="31.8" customHeight="1" x14ac:dyDescent="0.3">
      <c r="M55" s="170" t="s">
        <v>123</v>
      </c>
      <c r="N55" s="171"/>
      <c r="O55" s="171"/>
      <c r="P55" s="171"/>
      <c r="Q55" s="171"/>
      <c r="R55" s="171"/>
      <c r="S55" s="172"/>
    </row>
    <row r="56" spans="13:19" x14ac:dyDescent="0.3">
      <c r="M56" s="121"/>
      <c r="N56" s="133"/>
      <c r="O56" s="133"/>
      <c r="P56" s="133"/>
      <c r="Q56" s="133"/>
      <c r="R56" s="133"/>
      <c r="S56" s="134"/>
    </row>
    <row r="57" spans="13:19" ht="15" thickBot="1" x14ac:dyDescent="0.35">
      <c r="M57" s="123" t="s">
        <v>124</v>
      </c>
      <c r="N57" s="136"/>
      <c r="O57" s="136"/>
      <c r="P57" s="136"/>
      <c r="Q57" s="136"/>
      <c r="R57" s="136"/>
      <c r="S57" s="137"/>
    </row>
    <row r="59" spans="13:19" x14ac:dyDescent="0.3">
      <c r="M59" s="128"/>
    </row>
  </sheetData>
  <mergeCells count="13">
    <mergeCell ref="M55:S55"/>
    <mergeCell ref="M12:N15"/>
    <mergeCell ref="M42:S42"/>
    <mergeCell ref="M38:S38"/>
    <mergeCell ref="M47:S47"/>
    <mergeCell ref="M20:S20"/>
    <mergeCell ref="M21:S21"/>
    <mergeCell ref="M22:S22"/>
    <mergeCell ref="M25:S25"/>
    <mergeCell ref="M27:S27"/>
    <mergeCell ref="M30:S30"/>
    <mergeCell ref="M31:S31"/>
    <mergeCell ref="M32:S32"/>
  </mergeCells>
  <conditionalFormatting sqref="H4:H2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:J28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1D4D-B2E9-4CFA-84BD-672190858C28}">
  <dimension ref="B1:AG66"/>
  <sheetViews>
    <sheetView topLeftCell="A38" zoomScale="85" zoomScaleNormal="85" workbookViewId="0">
      <selection activeCell="G66" sqref="G66"/>
    </sheetView>
  </sheetViews>
  <sheetFormatPr defaultRowHeight="14.4" x14ac:dyDescent="0.3"/>
  <cols>
    <col min="1" max="1" width="3" customWidth="1"/>
    <col min="2" max="2" width="30.77734375" bestFit="1" customWidth="1"/>
    <col min="3" max="3" width="12.44140625" customWidth="1"/>
    <col min="5" max="5" width="13.5546875" bestFit="1" customWidth="1"/>
    <col min="6" max="6" width="12.33203125" bestFit="1" customWidth="1"/>
    <col min="7" max="7" width="20.44140625" customWidth="1"/>
    <col min="8" max="8" width="13.77734375" customWidth="1"/>
    <col min="9" max="9" width="8.88671875" customWidth="1"/>
    <col min="10" max="10" width="17.6640625" customWidth="1"/>
    <col min="11" max="11" width="13.109375" customWidth="1"/>
    <col min="12" max="12" width="8.88671875" customWidth="1"/>
    <col min="13" max="13" width="12.88671875" bestFit="1" customWidth="1"/>
    <col min="14" max="14" width="14.33203125" bestFit="1" customWidth="1"/>
    <col min="15" max="15" width="11.88671875" bestFit="1" customWidth="1"/>
    <col min="16" max="16" width="11.109375" bestFit="1" customWidth="1"/>
    <col min="17" max="19" width="12" bestFit="1" customWidth="1"/>
    <col min="20" max="20" width="11.21875" bestFit="1" customWidth="1"/>
    <col min="21" max="21" width="11.44140625" bestFit="1" customWidth="1"/>
    <col min="22" max="22" width="12.109375" bestFit="1" customWidth="1"/>
    <col min="23" max="23" width="12" bestFit="1" customWidth="1"/>
    <col min="24" max="24" width="11.21875" bestFit="1" customWidth="1"/>
    <col min="25" max="25" width="9.109375" bestFit="1" customWidth="1"/>
    <col min="26" max="26" width="11.6640625" bestFit="1" customWidth="1"/>
    <col min="27" max="27" width="11" bestFit="1" customWidth="1"/>
    <col min="28" max="28" width="12" bestFit="1" customWidth="1"/>
    <col min="29" max="29" width="11.88671875" bestFit="1" customWidth="1"/>
    <col min="30" max="30" width="11.77734375" bestFit="1" customWidth="1"/>
    <col min="31" max="31" width="11.109375" bestFit="1" customWidth="1"/>
    <col min="32" max="32" width="11.44140625" bestFit="1" customWidth="1"/>
    <col min="33" max="33" width="12" bestFit="1" customWidth="1"/>
    <col min="36" max="42" width="7.5546875" bestFit="1" customWidth="1"/>
    <col min="43" max="43" width="10.5546875" bestFit="1" customWidth="1"/>
  </cols>
  <sheetData>
    <row r="1" spans="2:33" ht="57.6" x14ac:dyDescent="0.3">
      <c r="B1" s="72" t="s">
        <v>0</v>
      </c>
      <c r="C1" s="72" t="s">
        <v>1</v>
      </c>
      <c r="D1" s="72" t="s">
        <v>2</v>
      </c>
      <c r="E1" s="113" t="s">
        <v>94</v>
      </c>
      <c r="F1" s="111" t="s">
        <v>97</v>
      </c>
      <c r="G1" s="111" t="s">
        <v>3</v>
      </c>
      <c r="H1" s="111" t="s">
        <v>4</v>
      </c>
      <c r="I1" s="111" t="s">
        <v>5</v>
      </c>
      <c r="J1" s="111" t="s">
        <v>6</v>
      </c>
      <c r="K1" s="111" t="s">
        <v>7</v>
      </c>
      <c r="L1" s="111" t="s">
        <v>8</v>
      </c>
      <c r="M1" s="111" t="s">
        <v>9</v>
      </c>
      <c r="N1" s="111" t="s">
        <v>10</v>
      </c>
      <c r="O1" s="111" t="s">
        <v>11</v>
      </c>
      <c r="P1" s="111" t="s">
        <v>12</v>
      </c>
      <c r="Q1" s="111" t="s">
        <v>13</v>
      </c>
      <c r="R1" s="111" t="s">
        <v>14</v>
      </c>
      <c r="S1" s="111" t="s">
        <v>15</v>
      </c>
      <c r="T1" s="111" t="s">
        <v>16</v>
      </c>
      <c r="U1" s="111" t="s">
        <v>17</v>
      </c>
      <c r="V1" s="112" t="s">
        <v>18</v>
      </c>
      <c r="W1" s="111" t="s">
        <v>19</v>
      </c>
      <c r="X1" s="111" t="s">
        <v>20</v>
      </c>
      <c r="Y1" s="111" t="s">
        <v>21</v>
      </c>
      <c r="Z1" s="111" t="s">
        <v>22</v>
      </c>
      <c r="AA1" s="111" t="s">
        <v>23</v>
      </c>
      <c r="AB1" s="111" t="s">
        <v>24</v>
      </c>
      <c r="AC1" s="111" t="s">
        <v>25</v>
      </c>
      <c r="AD1" s="111" t="s">
        <v>26</v>
      </c>
      <c r="AE1" s="111" t="s">
        <v>27</v>
      </c>
      <c r="AF1" s="111" t="s">
        <v>28</v>
      </c>
      <c r="AG1" s="113" t="s">
        <v>29</v>
      </c>
    </row>
    <row r="2" spans="2:33" x14ac:dyDescent="0.3">
      <c r="B2" s="1" t="s">
        <v>34</v>
      </c>
      <c r="C2" s="1">
        <v>2021</v>
      </c>
      <c r="D2" s="1" t="s">
        <v>31</v>
      </c>
      <c r="E2" s="109">
        <v>3918.56</v>
      </c>
      <c r="F2" s="115">
        <v>9.1700000000000004E-2</v>
      </c>
      <c r="G2" s="12">
        <v>144.9</v>
      </c>
      <c r="H2" s="12">
        <v>190.1</v>
      </c>
      <c r="I2" s="12">
        <v>175.3</v>
      </c>
      <c r="J2" s="12">
        <v>154.1</v>
      </c>
      <c r="K2" s="12">
        <v>150.9</v>
      </c>
      <c r="L2" s="12">
        <v>149.6</v>
      </c>
      <c r="M2" s="12">
        <v>194.2</v>
      </c>
      <c r="N2" s="12">
        <v>160.4</v>
      </c>
      <c r="O2" s="12">
        <v>114.6</v>
      </c>
      <c r="P2" s="12">
        <v>164</v>
      </c>
      <c r="Q2" s="12">
        <v>151.80000000000001</v>
      </c>
      <c r="R2" s="12">
        <v>165.6</v>
      </c>
      <c r="S2" s="12">
        <v>161</v>
      </c>
      <c r="T2" s="12">
        <v>186.5</v>
      </c>
      <c r="U2" s="12">
        <v>155.5</v>
      </c>
      <c r="V2" s="12">
        <v>146.1</v>
      </c>
      <c r="W2" s="12">
        <v>154.19999999999999</v>
      </c>
      <c r="X2" s="12">
        <v>157.69999999999999</v>
      </c>
      <c r="Y2" s="12">
        <v>147.9</v>
      </c>
      <c r="Z2" s="12">
        <v>150</v>
      </c>
      <c r="AA2" s="12">
        <v>159.30000000000001</v>
      </c>
      <c r="AB2" s="12">
        <v>141.9</v>
      </c>
      <c r="AC2" s="12">
        <v>149.6</v>
      </c>
      <c r="AD2" s="12">
        <v>159.19999999999999</v>
      </c>
      <c r="AE2" s="12">
        <v>156.80000000000001</v>
      </c>
      <c r="AF2" s="12">
        <v>151.9</v>
      </c>
      <c r="AG2" s="109">
        <v>157.30000000000001</v>
      </c>
    </row>
    <row r="3" spans="2:33" x14ac:dyDescent="0.3">
      <c r="B3" s="2" t="s">
        <v>34</v>
      </c>
      <c r="C3" s="2">
        <v>2021</v>
      </c>
      <c r="D3" s="2" t="s">
        <v>35</v>
      </c>
      <c r="E3" s="110">
        <v>4399.41</v>
      </c>
      <c r="F3" s="116">
        <v>0.1227</v>
      </c>
      <c r="G3" s="13">
        <v>144.30000000000001</v>
      </c>
      <c r="H3" s="13">
        <v>186.5</v>
      </c>
      <c r="I3" s="13">
        <v>168.7</v>
      </c>
      <c r="J3" s="13">
        <v>154.69999999999999</v>
      </c>
      <c r="K3" s="13">
        <v>158.69999999999999</v>
      </c>
      <c r="L3" s="13">
        <v>150.69999999999999</v>
      </c>
      <c r="M3" s="13">
        <v>160</v>
      </c>
      <c r="N3" s="13">
        <v>158.80000000000001</v>
      </c>
      <c r="O3" s="13">
        <v>112.8</v>
      </c>
      <c r="P3" s="13">
        <v>164.2</v>
      </c>
      <c r="Q3" s="13">
        <v>155.5</v>
      </c>
      <c r="R3" s="13">
        <v>167.5</v>
      </c>
      <c r="S3" s="13">
        <v>156.9</v>
      </c>
      <c r="T3" s="13">
        <v>188.3</v>
      </c>
      <c r="U3" s="13">
        <v>157.19999999999999</v>
      </c>
      <c r="V3" s="13">
        <v>147.4</v>
      </c>
      <c r="W3" s="13">
        <v>155.80000000000001</v>
      </c>
      <c r="X3" s="13">
        <v>159.80000000000001</v>
      </c>
      <c r="Y3" s="13">
        <v>152.4</v>
      </c>
      <c r="Z3" s="13">
        <v>150.9</v>
      </c>
      <c r="AA3" s="13">
        <v>161.30000000000001</v>
      </c>
      <c r="AB3" s="13">
        <v>145.1</v>
      </c>
      <c r="AC3" s="13">
        <v>151.5</v>
      </c>
      <c r="AD3" s="13">
        <v>159.5</v>
      </c>
      <c r="AE3" s="13">
        <v>155.80000000000001</v>
      </c>
      <c r="AF3" s="13">
        <v>153.4</v>
      </c>
      <c r="AG3" s="110">
        <v>156.6</v>
      </c>
    </row>
    <row r="4" spans="2:33" x14ac:dyDescent="0.3">
      <c r="B4" s="1" t="s">
        <v>34</v>
      </c>
      <c r="C4" s="1">
        <v>2021</v>
      </c>
      <c r="D4" s="1" t="s">
        <v>36</v>
      </c>
      <c r="E4" s="109">
        <v>4646.3599999999997</v>
      </c>
      <c r="F4" s="115">
        <v>5.6099999999999997E-2</v>
      </c>
      <c r="G4" s="12">
        <v>144.1</v>
      </c>
      <c r="H4" s="12">
        <v>192.2</v>
      </c>
      <c r="I4" s="12">
        <v>163.80000000000001</v>
      </c>
      <c r="J4" s="12">
        <v>154.9</v>
      </c>
      <c r="K4" s="12">
        <v>163.9</v>
      </c>
      <c r="L4" s="12">
        <v>153.69999999999999</v>
      </c>
      <c r="M4" s="12">
        <v>149.5</v>
      </c>
      <c r="N4" s="12">
        <v>159.80000000000001</v>
      </c>
      <c r="O4" s="12">
        <v>112.6</v>
      </c>
      <c r="P4" s="12">
        <v>163.5</v>
      </c>
      <c r="Q4" s="12">
        <v>156.5</v>
      </c>
      <c r="R4" s="12">
        <v>168.2</v>
      </c>
      <c r="S4" s="12">
        <v>156.69999999999999</v>
      </c>
      <c r="T4" s="12">
        <v>188.1</v>
      </c>
      <c r="U4" s="12">
        <v>157.80000000000001</v>
      </c>
      <c r="V4" s="12">
        <v>147.9</v>
      </c>
      <c r="W4" s="12">
        <v>156.4</v>
      </c>
      <c r="X4" s="12">
        <v>159.9</v>
      </c>
      <c r="Y4" s="12">
        <v>155.5</v>
      </c>
      <c r="Z4" s="12">
        <v>151.19999999999999</v>
      </c>
      <c r="AA4" s="12">
        <v>161.69999999999999</v>
      </c>
      <c r="AB4" s="12">
        <v>146.19999999999999</v>
      </c>
      <c r="AC4" s="12">
        <v>152.6</v>
      </c>
      <c r="AD4" s="12">
        <v>160.19999999999999</v>
      </c>
      <c r="AE4" s="12">
        <v>153.80000000000001</v>
      </c>
      <c r="AF4" s="12">
        <v>153.80000000000001</v>
      </c>
      <c r="AG4" s="109">
        <v>156.80000000000001</v>
      </c>
    </row>
    <row r="5" spans="2:33" x14ac:dyDescent="0.3">
      <c r="B5" s="2" t="s">
        <v>34</v>
      </c>
      <c r="C5" s="2">
        <v>2021</v>
      </c>
      <c r="D5" s="2" t="s">
        <v>37</v>
      </c>
      <c r="E5" s="110">
        <v>4684.6400000000003</v>
      </c>
      <c r="F5" s="116">
        <v>8.2000000000000007E-3</v>
      </c>
      <c r="G5" s="13">
        <v>144.30000000000001</v>
      </c>
      <c r="H5" s="13">
        <v>198</v>
      </c>
      <c r="I5" s="13">
        <v>164.6</v>
      </c>
      <c r="J5" s="13">
        <v>155.4</v>
      </c>
      <c r="K5" s="13">
        <v>170.1</v>
      </c>
      <c r="L5" s="13">
        <v>164.4</v>
      </c>
      <c r="M5" s="13">
        <v>144.1</v>
      </c>
      <c r="N5" s="13">
        <v>161.69999999999999</v>
      </c>
      <c r="O5" s="13">
        <v>113.1</v>
      </c>
      <c r="P5" s="13">
        <v>163.9</v>
      </c>
      <c r="Q5" s="13">
        <v>157.6</v>
      </c>
      <c r="R5" s="13">
        <v>168.9</v>
      </c>
      <c r="S5" s="13">
        <v>158</v>
      </c>
      <c r="T5" s="13">
        <v>188.8</v>
      </c>
      <c r="U5" s="13">
        <v>158.80000000000001</v>
      </c>
      <c r="V5" s="13">
        <v>148.5</v>
      </c>
      <c r="W5" s="13">
        <v>157.30000000000001</v>
      </c>
      <c r="X5" s="13">
        <v>161.4</v>
      </c>
      <c r="Y5" s="13">
        <v>155.6</v>
      </c>
      <c r="Z5" s="13">
        <v>151.80000000000001</v>
      </c>
      <c r="AA5" s="13">
        <v>162.30000000000001</v>
      </c>
      <c r="AB5" s="13">
        <v>146.6</v>
      </c>
      <c r="AC5" s="13">
        <v>153.19999999999999</v>
      </c>
      <c r="AD5" s="13">
        <v>160.30000000000001</v>
      </c>
      <c r="AE5" s="13">
        <v>155.4</v>
      </c>
      <c r="AF5" s="13">
        <v>154.4</v>
      </c>
      <c r="AG5" s="110">
        <v>157.80000000000001</v>
      </c>
    </row>
    <row r="6" spans="2:33" x14ac:dyDescent="0.3">
      <c r="B6" s="1" t="s">
        <v>34</v>
      </c>
      <c r="C6" s="1">
        <v>2021</v>
      </c>
      <c r="D6" s="1" t="s">
        <v>38</v>
      </c>
      <c r="E6" s="109">
        <v>4870.9799999999996</v>
      </c>
      <c r="F6" s="115">
        <v>3.9800000000000002E-2</v>
      </c>
      <c r="G6" s="12">
        <v>146.30000000000001</v>
      </c>
      <c r="H6" s="12">
        <v>200.5</v>
      </c>
      <c r="I6" s="12">
        <v>170.3</v>
      </c>
      <c r="J6" s="12">
        <v>156.1</v>
      </c>
      <c r="K6" s="12">
        <v>178.7</v>
      </c>
      <c r="L6" s="12">
        <v>167.1</v>
      </c>
      <c r="M6" s="12">
        <v>147.9</v>
      </c>
      <c r="N6" s="12">
        <v>165.4</v>
      </c>
      <c r="O6" s="12">
        <v>114.8</v>
      </c>
      <c r="P6" s="12">
        <v>168.2</v>
      </c>
      <c r="Q6" s="12">
        <v>159.30000000000001</v>
      </c>
      <c r="R6" s="12">
        <v>170.4</v>
      </c>
      <c r="S6" s="12">
        <v>160.69999999999999</v>
      </c>
      <c r="T6" s="12">
        <v>191.9</v>
      </c>
      <c r="U6" s="12">
        <v>161.80000000000001</v>
      </c>
      <c r="V6" s="12">
        <v>152.1</v>
      </c>
      <c r="W6" s="12">
        <v>160.4</v>
      </c>
      <c r="X6" s="12">
        <v>161.6</v>
      </c>
      <c r="Y6" s="12">
        <v>159.4</v>
      </c>
      <c r="Z6" s="12">
        <v>154.69999999999999</v>
      </c>
      <c r="AA6" s="12">
        <v>165.8</v>
      </c>
      <c r="AB6" s="12">
        <v>148.9</v>
      </c>
      <c r="AC6" s="12">
        <v>155.80000000000001</v>
      </c>
      <c r="AD6" s="12">
        <v>161.19999999999999</v>
      </c>
      <c r="AE6" s="12">
        <v>158.6</v>
      </c>
      <c r="AF6" s="12">
        <v>156.80000000000001</v>
      </c>
      <c r="AG6" s="109">
        <v>160.4</v>
      </c>
    </row>
    <row r="7" spans="2:33" x14ac:dyDescent="0.3">
      <c r="B7" s="2" t="s">
        <v>34</v>
      </c>
      <c r="C7" s="2">
        <v>2021</v>
      </c>
      <c r="D7" s="2" t="s">
        <v>39</v>
      </c>
      <c r="E7" s="110">
        <v>5281.48</v>
      </c>
      <c r="F7" s="116">
        <v>8.43E-2</v>
      </c>
      <c r="G7" s="13">
        <v>146.69999999999999</v>
      </c>
      <c r="H7" s="13">
        <v>202</v>
      </c>
      <c r="I7" s="13">
        <v>180.7</v>
      </c>
      <c r="J7" s="13">
        <v>156.19999999999999</v>
      </c>
      <c r="K7" s="13">
        <v>183.7</v>
      </c>
      <c r="L7" s="13">
        <v>164.6</v>
      </c>
      <c r="M7" s="13">
        <v>155.4</v>
      </c>
      <c r="N7" s="13">
        <v>166</v>
      </c>
      <c r="O7" s="13">
        <v>115.1</v>
      </c>
      <c r="P7" s="13">
        <v>168.5</v>
      </c>
      <c r="Q7" s="13">
        <v>160</v>
      </c>
      <c r="R7" s="13">
        <v>172.4</v>
      </c>
      <c r="S7" s="13">
        <v>162.6</v>
      </c>
      <c r="T7" s="13">
        <v>190.8</v>
      </c>
      <c r="U7" s="13">
        <v>162.19999999999999</v>
      </c>
      <c r="V7" s="13">
        <v>151.80000000000001</v>
      </c>
      <c r="W7" s="13">
        <v>160.69999999999999</v>
      </c>
      <c r="X7" s="13">
        <v>160.5</v>
      </c>
      <c r="Y7" s="13">
        <v>159.80000000000001</v>
      </c>
      <c r="Z7" s="13">
        <v>154.80000000000001</v>
      </c>
      <c r="AA7" s="13">
        <v>166.3</v>
      </c>
      <c r="AB7" s="13">
        <v>150.69999999999999</v>
      </c>
      <c r="AC7" s="13">
        <v>154.9</v>
      </c>
      <c r="AD7" s="13">
        <v>161.69999999999999</v>
      </c>
      <c r="AE7" s="13">
        <v>158.80000000000001</v>
      </c>
      <c r="AF7" s="13">
        <v>157.6</v>
      </c>
      <c r="AG7" s="110">
        <v>161.30000000000001</v>
      </c>
    </row>
    <row r="8" spans="2:33" x14ac:dyDescent="0.3">
      <c r="B8" s="1" t="s">
        <v>34</v>
      </c>
      <c r="C8" s="1">
        <v>2021</v>
      </c>
      <c r="D8" s="1" t="s">
        <v>40</v>
      </c>
      <c r="E8" s="109">
        <v>5460.9</v>
      </c>
      <c r="F8" s="115">
        <v>3.4000000000000002E-2</v>
      </c>
      <c r="G8" s="12">
        <v>146.4</v>
      </c>
      <c r="H8" s="12">
        <v>206.8</v>
      </c>
      <c r="I8" s="12">
        <v>182.2</v>
      </c>
      <c r="J8" s="12">
        <v>157.5</v>
      </c>
      <c r="K8" s="12">
        <v>182.1</v>
      </c>
      <c r="L8" s="12">
        <v>163.9</v>
      </c>
      <c r="M8" s="12">
        <v>164.2</v>
      </c>
      <c r="N8" s="12">
        <v>164</v>
      </c>
      <c r="O8" s="12">
        <v>114.5</v>
      </c>
      <c r="P8" s="12">
        <v>168.3</v>
      </c>
      <c r="Q8" s="12">
        <v>160.9</v>
      </c>
      <c r="R8" s="12">
        <v>172.2</v>
      </c>
      <c r="S8" s="12">
        <v>164</v>
      </c>
      <c r="T8" s="12">
        <v>191.2</v>
      </c>
      <c r="U8" s="12">
        <v>162.80000000000001</v>
      </c>
      <c r="V8" s="12">
        <v>153.1</v>
      </c>
      <c r="W8" s="12">
        <v>161.4</v>
      </c>
      <c r="X8" s="12">
        <v>161.5</v>
      </c>
      <c r="Y8" s="12">
        <v>160.69999999999999</v>
      </c>
      <c r="Z8" s="12">
        <v>155.80000000000001</v>
      </c>
      <c r="AA8" s="12">
        <v>167</v>
      </c>
      <c r="AB8" s="12">
        <v>153.1</v>
      </c>
      <c r="AC8" s="12">
        <v>155.30000000000001</v>
      </c>
      <c r="AD8" s="12">
        <v>163.19999999999999</v>
      </c>
      <c r="AE8" s="12">
        <v>160.1</v>
      </c>
      <c r="AF8" s="12">
        <v>159</v>
      </c>
      <c r="AG8" s="109">
        <v>162.5</v>
      </c>
    </row>
    <row r="9" spans="2:33" x14ac:dyDescent="0.3">
      <c r="B9" s="2" t="s">
        <v>34</v>
      </c>
      <c r="C9" s="2">
        <v>2021</v>
      </c>
      <c r="D9" s="2" t="s">
        <v>41</v>
      </c>
      <c r="E9" s="110">
        <v>5108.7299999999996</v>
      </c>
      <c r="F9" s="116">
        <v>-6.4500000000000002E-2</v>
      </c>
      <c r="G9" s="13">
        <v>146.6</v>
      </c>
      <c r="H9" s="13">
        <v>204</v>
      </c>
      <c r="I9" s="13">
        <v>172.8</v>
      </c>
      <c r="J9" s="13">
        <v>158.4</v>
      </c>
      <c r="K9" s="13">
        <v>188</v>
      </c>
      <c r="L9" s="13">
        <v>156.80000000000001</v>
      </c>
      <c r="M9" s="13">
        <v>162.19999999999999</v>
      </c>
      <c r="N9" s="13">
        <v>164.1</v>
      </c>
      <c r="O9" s="13">
        <v>119.7</v>
      </c>
      <c r="P9" s="13">
        <v>168.8</v>
      </c>
      <c r="Q9" s="13">
        <v>162.69999999999999</v>
      </c>
      <c r="R9" s="13">
        <v>173.9</v>
      </c>
      <c r="S9" s="13">
        <v>164</v>
      </c>
      <c r="T9" s="13">
        <v>192.1</v>
      </c>
      <c r="U9" s="13">
        <v>164.5</v>
      </c>
      <c r="V9" s="13">
        <v>155.30000000000001</v>
      </c>
      <c r="W9" s="13">
        <v>163.19999999999999</v>
      </c>
      <c r="X9" s="13">
        <v>162.1</v>
      </c>
      <c r="Y9" s="13">
        <v>162.6</v>
      </c>
      <c r="Z9" s="13">
        <v>157.5</v>
      </c>
      <c r="AA9" s="13">
        <v>168.4</v>
      </c>
      <c r="AB9" s="13">
        <v>154</v>
      </c>
      <c r="AC9" s="13">
        <v>157.6</v>
      </c>
      <c r="AD9" s="13">
        <v>163.80000000000001</v>
      </c>
      <c r="AE9" s="13">
        <v>160</v>
      </c>
      <c r="AF9" s="13">
        <v>160</v>
      </c>
      <c r="AG9" s="110">
        <v>163.19999999999999</v>
      </c>
    </row>
    <row r="10" spans="2:33" x14ac:dyDescent="0.3">
      <c r="B10" s="1" t="s">
        <v>34</v>
      </c>
      <c r="C10" s="1">
        <v>2021</v>
      </c>
      <c r="D10" s="1" t="s">
        <v>42</v>
      </c>
      <c r="E10" s="109">
        <v>5359.17</v>
      </c>
      <c r="F10" s="115">
        <v>4.9000000000000002E-2</v>
      </c>
      <c r="G10" s="12">
        <v>146.6</v>
      </c>
      <c r="H10" s="12">
        <v>204</v>
      </c>
      <c r="I10" s="12">
        <v>172.8</v>
      </c>
      <c r="J10" s="12">
        <v>158.4</v>
      </c>
      <c r="K10" s="12">
        <v>188</v>
      </c>
      <c r="L10" s="12">
        <v>156.69999999999999</v>
      </c>
      <c r="M10" s="12">
        <v>162.30000000000001</v>
      </c>
      <c r="N10" s="12">
        <v>164.1</v>
      </c>
      <c r="O10" s="12">
        <v>119.7</v>
      </c>
      <c r="P10" s="12">
        <v>168.8</v>
      </c>
      <c r="Q10" s="12">
        <v>162.69999999999999</v>
      </c>
      <c r="R10" s="12">
        <v>173.9</v>
      </c>
      <c r="S10" s="12">
        <v>164</v>
      </c>
      <c r="T10" s="12">
        <v>192.1</v>
      </c>
      <c r="U10" s="12">
        <v>164.6</v>
      </c>
      <c r="V10" s="12">
        <v>155.30000000000001</v>
      </c>
      <c r="W10" s="12">
        <v>163.30000000000001</v>
      </c>
      <c r="X10" s="12">
        <v>162.1</v>
      </c>
      <c r="Y10" s="12">
        <v>162.6</v>
      </c>
      <c r="Z10" s="12">
        <v>157.5</v>
      </c>
      <c r="AA10" s="12">
        <v>168.4</v>
      </c>
      <c r="AB10" s="12">
        <v>154</v>
      </c>
      <c r="AC10" s="12">
        <v>157.69999999999999</v>
      </c>
      <c r="AD10" s="12">
        <v>163.69999999999999</v>
      </c>
      <c r="AE10" s="12">
        <v>160</v>
      </c>
      <c r="AF10" s="12">
        <v>160</v>
      </c>
      <c r="AG10" s="109">
        <v>163.19999999999999</v>
      </c>
    </row>
    <row r="11" spans="2:33" x14ac:dyDescent="0.3">
      <c r="B11" s="2" t="s">
        <v>34</v>
      </c>
      <c r="C11" s="2">
        <v>2021</v>
      </c>
      <c r="D11" s="2" t="s">
        <v>43</v>
      </c>
      <c r="E11" s="110">
        <v>6146.58</v>
      </c>
      <c r="F11" s="116">
        <v>0.1469</v>
      </c>
      <c r="G11" s="13">
        <v>147.4</v>
      </c>
      <c r="H11" s="13">
        <v>204.6</v>
      </c>
      <c r="I11" s="13">
        <v>171.2</v>
      </c>
      <c r="J11" s="13">
        <v>158.69999999999999</v>
      </c>
      <c r="K11" s="13">
        <v>190.6</v>
      </c>
      <c r="L11" s="13">
        <v>155.69999999999999</v>
      </c>
      <c r="M11" s="13">
        <v>185.3</v>
      </c>
      <c r="N11" s="13">
        <v>165.2</v>
      </c>
      <c r="O11" s="13">
        <v>121.9</v>
      </c>
      <c r="P11" s="13">
        <v>169.3</v>
      </c>
      <c r="Q11" s="13">
        <v>163.19999999999999</v>
      </c>
      <c r="R11" s="13">
        <v>174.7</v>
      </c>
      <c r="S11" s="13">
        <v>167.7</v>
      </c>
      <c r="T11" s="13">
        <v>192.7</v>
      </c>
      <c r="U11" s="13">
        <v>165.7</v>
      </c>
      <c r="V11" s="13">
        <v>156.30000000000001</v>
      </c>
      <c r="W11" s="13">
        <v>164.3</v>
      </c>
      <c r="X11" s="13">
        <v>163.6</v>
      </c>
      <c r="Y11" s="13">
        <v>164.2</v>
      </c>
      <c r="Z11" s="13">
        <v>158.4</v>
      </c>
      <c r="AA11" s="13">
        <v>169.1</v>
      </c>
      <c r="AB11" s="13">
        <v>155.69999999999999</v>
      </c>
      <c r="AC11" s="13">
        <v>158.6</v>
      </c>
      <c r="AD11" s="13">
        <v>163.9</v>
      </c>
      <c r="AE11" s="13">
        <v>160.80000000000001</v>
      </c>
      <c r="AF11" s="13">
        <v>161</v>
      </c>
      <c r="AG11" s="110">
        <v>165.5</v>
      </c>
    </row>
    <row r="12" spans="2:33" x14ac:dyDescent="0.3">
      <c r="B12" s="1" t="s">
        <v>34</v>
      </c>
      <c r="C12" s="1">
        <v>2021</v>
      </c>
      <c r="D12" s="1" t="s">
        <v>45</v>
      </c>
      <c r="E12" s="109">
        <v>5952.69</v>
      </c>
      <c r="F12" s="115">
        <v>-3.15E-2</v>
      </c>
      <c r="G12" s="12">
        <v>148.19999999999999</v>
      </c>
      <c r="H12" s="12">
        <v>201.6</v>
      </c>
      <c r="I12" s="12">
        <v>173</v>
      </c>
      <c r="J12" s="12">
        <v>159.30000000000001</v>
      </c>
      <c r="K12" s="12">
        <v>190.1</v>
      </c>
      <c r="L12" s="12">
        <v>156.5</v>
      </c>
      <c r="M12" s="12">
        <v>199.2</v>
      </c>
      <c r="N12" s="12">
        <v>165.3</v>
      </c>
      <c r="O12" s="12">
        <v>122.4</v>
      </c>
      <c r="P12" s="12">
        <v>169.6</v>
      </c>
      <c r="Q12" s="12">
        <v>163.69999999999999</v>
      </c>
      <c r="R12" s="12">
        <v>175.5</v>
      </c>
      <c r="S12" s="12">
        <v>169.7</v>
      </c>
      <c r="T12" s="12">
        <v>192.9</v>
      </c>
      <c r="U12" s="12">
        <v>167.2</v>
      </c>
      <c r="V12" s="12">
        <v>157.4</v>
      </c>
      <c r="W12" s="12">
        <v>165.8</v>
      </c>
      <c r="X12" s="12">
        <v>164.2</v>
      </c>
      <c r="Y12" s="12">
        <v>163.9</v>
      </c>
      <c r="Z12" s="12">
        <v>159.30000000000001</v>
      </c>
      <c r="AA12" s="12">
        <v>169.9</v>
      </c>
      <c r="AB12" s="12">
        <v>154.80000000000001</v>
      </c>
      <c r="AC12" s="12">
        <v>159.80000000000001</v>
      </c>
      <c r="AD12" s="12">
        <v>164.3</v>
      </c>
      <c r="AE12" s="12">
        <v>162.19999999999999</v>
      </c>
      <c r="AF12" s="12">
        <v>161.4</v>
      </c>
      <c r="AG12" s="109">
        <v>166.7</v>
      </c>
    </row>
    <row r="13" spans="2:33" x14ac:dyDescent="0.3">
      <c r="B13" s="2" t="s">
        <v>34</v>
      </c>
      <c r="C13" s="2">
        <v>2021</v>
      </c>
      <c r="D13" s="2" t="s">
        <v>46</v>
      </c>
      <c r="E13" s="110">
        <v>5504.55</v>
      </c>
      <c r="F13" s="116">
        <v>-7.5300000000000006E-2</v>
      </c>
      <c r="G13" s="13">
        <v>148.69999999999999</v>
      </c>
      <c r="H13" s="13">
        <v>198.8</v>
      </c>
      <c r="I13" s="13">
        <v>177.9</v>
      </c>
      <c r="J13" s="13">
        <v>159.9</v>
      </c>
      <c r="K13" s="13">
        <v>187.6</v>
      </c>
      <c r="L13" s="13">
        <v>154.9</v>
      </c>
      <c r="M13" s="13">
        <v>188.3</v>
      </c>
      <c r="N13" s="13">
        <v>164.4</v>
      </c>
      <c r="O13" s="13">
        <v>121</v>
      </c>
      <c r="P13" s="13">
        <v>170.5</v>
      </c>
      <c r="Q13" s="13">
        <v>164.2</v>
      </c>
      <c r="R13" s="13">
        <v>176.5</v>
      </c>
      <c r="S13" s="13">
        <v>168.2</v>
      </c>
      <c r="T13" s="13">
        <v>192.4</v>
      </c>
      <c r="U13" s="13">
        <v>168.5</v>
      </c>
      <c r="V13" s="13">
        <v>158.69999999999999</v>
      </c>
      <c r="W13" s="13">
        <v>167</v>
      </c>
      <c r="X13" s="13">
        <v>163.4</v>
      </c>
      <c r="Y13" s="13">
        <v>164.1</v>
      </c>
      <c r="Z13" s="13">
        <v>160.19999999999999</v>
      </c>
      <c r="AA13" s="13">
        <v>170.6</v>
      </c>
      <c r="AB13" s="13">
        <v>155.69999999999999</v>
      </c>
      <c r="AC13" s="13">
        <v>160.6</v>
      </c>
      <c r="AD13" s="13">
        <v>164.4</v>
      </c>
      <c r="AE13" s="13">
        <v>162.6</v>
      </c>
      <c r="AF13" s="13">
        <v>162</v>
      </c>
      <c r="AG13" s="110">
        <v>166.2</v>
      </c>
    </row>
    <row r="14" spans="2:33" x14ac:dyDescent="0.3">
      <c r="B14" s="1" t="s">
        <v>34</v>
      </c>
      <c r="C14" s="1">
        <v>2022</v>
      </c>
      <c r="D14" s="1" t="s">
        <v>31</v>
      </c>
      <c r="E14" s="109">
        <v>6247.71</v>
      </c>
      <c r="F14" s="115">
        <v>0.13500000000000001</v>
      </c>
      <c r="G14" s="12">
        <v>149.5</v>
      </c>
      <c r="H14" s="12">
        <v>198.7</v>
      </c>
      <c r="I14" s="12">
        <v>178.8</v>
      </c>
      <c r="J14" s="12">
        <v>160.5</v>
      </c>
      <c r="K14" s="12">
        <v>184.7</v>
      </c>
      <c r="L14" s="12">
        <v>153.69999999999999</v>
      </c>
      <c r="M14" s="12">
        <v>174.3</v>
      </c>
      <c r="N14" s="12">
        <v>163.9</v>
      </c>
      <c r="O14" s="12">
        <v>120</v>
      </c>
      <c r="P14" s="12">
        <v>172.1</v>
      </c>
      <c r="Q14" s="12">
        <v>164.3</v>
      </c>
      <c r="R14" s="12">
        <v>177.3</v>
      </c>
      <c r="S14" s="12">
        <v>166.4</v>
      </c>
      <c r="T14" s="12">
        <v>192.2</v>
      </c>
      <c r="U14" s="12">
        <v>169.9</v>
      </c>
      <c r="V14" s="12">
        <v>160.69999999999999</v>
      </c>
      <c r="W14" s="12">
        <v>168.5</v>
      </c>
      <c r="X14" s="12">
        <v>164.5</v>
      </c>
      <c r="Y14" s="12">
        <v>164.2</v>
      </c>
      <c r="Z14" s="12">
        <v>161.1</v>
      </c>
      <c r="AA14" s="12">
        <v>171.4</v>
      </c>
      <c r="AB14" s="12">
        <v>156.5</v>
      </c>
      <c r="AC14" s="12">
        <v>161.19999999999999</v>
      </c>
      <c r="AD14" s="12">
        <v>164.7</v>
      </c>
      <c r="AE14" s="12">
        <v>163</v>
      </c>
      <c r="AF14" s="12">
        <v>162.69999999999999</v>
      </c>
      <c r="AG14" s="109">
        <v>165.7</v>
      </c>
    </row>
    <row r="15" spans="2:33" x14ac:dyDescent="0.3">
      <c r="B15" s="2" t="s">
        <v>34</v>
      </c>
      <c r="C15" s="2">
        <v>2022</v>
      </c>
      <c r="D15" s="2" t="s">
        <v>35</v>
      </c>
      <c r="E15" s="110">
        <v>7018.51</v>
      </c>
      <c r="F15" s="116">
        <v>0.1234</v>
      </c>
      <c r="G15" s="13">
        <v>150</v>
      </c>
      <c r="H15" s="13">
        <v>200.6</v>
      </c>
      <c r="I15" s="13">
        <v>175.8</v>
      </c>
      <c r="J15" s="13">
        <v>160.69999999999999</v>
      </c>
      <c r="K15" s="13">
        <v>184.9</v>
      </c>
      <c r="L15" s="13">
        <v>153.69999999999999</v>
      </c>
      <c r="M15" s="13">
        <v>169.7</v>
      </c>
      <c r="N15" s="13">
        <v>163.69999999999999</v>
      </c>
      <c r="O15" s="13">
        <v>118.9</v>
      </c>
      <c r="P15" s="13">
        <v>174.3</v>
      </c>
      <c r="Q15" s="13">
        <v>164.7</v>
      </c>
      <c r="R15" s="13">
        <v>178</v>
      </c>
      <c r="S15" s="13">
        <v>166.2</v>
      </c>
      <c r="T15" s="13">
        <v>192.8</v>
      </c>
      <c r="U15" s="13">
        <v>170.8</v>
      </c>
      <c r="V15" s="13">
        <v>162.4</v>
      </c>
      <c r="W15" s="13">
        <v>169.6</v>
      </c>
      <c r="X15" s="13">
        <v>165.5</v>
      </c>
      <c r="Y15" s="13">
        <v>165.7</v>
      </c>
      <c r="Z15" s="13">
        <v>161.80000000000001</v>
      </c>
      <c r="AA15" s="13">
        <v>172.2</v>
      </c>
      <c r="AB15" s="13">
        <v>156.9</v>
      </c>
      <c r="AC15" s="13">
        <v>162.1</v>
      </c>
      <c r="AD15" s="13">
        <v>165.4</v>
      </c>
      <c r="AE15" s="13">
        <v>164.4</v>
      </c>
      <c r="AF15" s="13">
        <v>163.5</v>
      </c>
      <c r="AG15" s="110">
        <v>166.1</v>
      </c>
    </row>
    <row r="16" spans="2:33" x14ac:dyDescent="0.3">
      <c r="B16" s="1" t="s">
        <v>34</v>
      </c>
      <c r="C16" s="1">
        <v>2022</v>
      </c>
      <c r="D16" s="1" t="s">
        <v>36</v>
      </c>
      <c r="E16" s="109">
        <v>8569.8799999999992</v>
      </c>
      <c r="F16" s="115">
        <v>0.221</v>
      </c>
      <c r="G16" s="12">
        <v>151.30000000000001</v>
      </c>
      <c r="H16" s="12">
        <v>210.7</v>
      </c>
      <c r="I16" s="12">
        <v>167.8</v>
      </c>
      <c r="J16" s="12">
        <v>162.19999999999999</v>
      </c>
      <c r="K16" s="12">
        <v>194.6</v>
      </c>
      <c r="L16" s="12">
        <v>157.6</v>
      </c>
      <c r="M16" s="12">
        <v>166.9</v>
      </c>
      <c r="N16" s="12">
        <v>163.9</v>
      </c>
      <c r="O16" s="12">
        <v>118.8</v>
      </c>
      <c r="P16" s="12">
        <v>177.4</v>
      </c>
      <c r="Q16" s="12">
        <v>165.3</v>
      </c>
      <c r="R16" s="12">
        <v>179.3</v>
      </c>
      <c r="S16" s="12">
        <v>168.4</v>
      </c>
      <c r="T16" s="12">
        <v>193.7</v>
      </c>
      <c r="U16" s="12">
        <v>172.1</v>
      </c>
      <c r="V16" s="12">
        <v>164.6</v>
      </c>
      <c r="W16" s="12">
        <v>171.1</v>
      </c>
      <c r="X16" s="12">
        <v>165.3</v>
      </c>
      <c r="Y16" s="12">
        <v>167.2</v>
      </c>
      <c r="Z16" s="12">
        <v>162.80000000000001</v>
      </c>
      <c r="AA16" s="12">
        <v>173</v>
      </c>
      <c r="AB16" s="12">
        <v>157.9</v>
      </c>
      <c r="AC16" s="12">
        <v>163.30000000000001</v>
      </c>
      <c r="AD16" s="12">
        <v>166</v>
      </c>
      <c r="AE16" s="12">
        <v>167.2</v>
      </c>
      <c r="AF16" s="12">
        <v>164.6</v>
      </c>
      <c r="AG16" s="109">
        <v>167.7</v>
      </c>
    </row>
    <row r="17" spans="2:33" x14ac:dyDescent="0.3">
      <c r="B17" s="2" t="s">
        <v>34</v>
      </c>
      <c r="C17" s="2">
        <v>2022</v>
      </c>
      <c r="D17" s="2" t="s">
        <v>37</v>
      </c>
      <c r="E17" s="110">
        <v>7877.96</v>
      </c>
      <c r="F17" s="116">
        <v>-8.0699999999999994E-2</v>
      </c>
      <c r="G17" s="13">
        <v>152.9</v>
      </c>
      <c r="H17" s="13">
        <v>211.8</v>
      </c>
      <c r="I17" s="13">
        <v>164.5</v>
      </c>
      <c r="J17" s="13">
        <v>163.9</v>
      </c>
      <c r="K17" s="13">
        <v>199.5</v>
      </c>
      <c r="L17" s="13">
        <v>172.6</v>
      </c>
      <c r="M17" s="13">
        <v>166.2</v>
      </c>
      <c r="N17" s="13">
        <v>164.7</v>
      </c>
      <c r="O17" s="13">
        <v>119</v>
      </c>
      <c r="P17" s="13">
        <v>181.3</v>
      </c>
      <c r="Q17" s="13">
        <v>166.2</v>
      </c>
      <c r="R17" s="13">
        <v>180.9</v>
      </c>
      <c r="S17" s="13">
        <v>170.8</v>
      </c>
      <c r="T17" s="13">
        <v>193.9</v>
      </c>
      <c r="U17" s="13">
        <v>173.9</v>
      </c>
      <c r="V17" s="13">
        <v>166.5</v>
      </c>
      <c r="W17" s="13">
        <v>172.8</v>
      </c>
      <c r="X17" s="13">
        <v>167</v>
      </c>
      <c r="Y17" s="13">
        <v>172.2</v>
      </c>
      <c r="Z17" s="13">
        <v>164</v>
      </c>
      <c r="AA17" s="13">
        <v>174</v>
      </c>
      <c r="AB17" s="13">
        <v>162.6</v>
      </c>
      <c r="AC17" s="13">
        <v>164.4</v>
      </c>
      <c r="AD17" s="13">
        <v>166.9</v>
      </c>
      <c r="AE17" s="13">
        <v>168.8</v>
      </c>
      <c r="AF17" s="13">
        <v>166.8</v>
      </c>
      <c r="AG17" s="110">
        <v>170.1</v>
      </c>
    </row>
    <row r="18" spans="2:33" x14ac:dyDescent="0.3">
      <c r="B18" s="1" t="s">
        <v>34</v>
      </c>
      <c r="C18" s="1">
        <v>2022</v>
      </c>
      <c r="D18" s="1" t="s">
        <v>38</v>
      </c>
      <c r="E18" s="109">
        <v>8511.74</v>
      </c>
      <c r="F18" s="115">
        <v>8.0500000000000002E-2</v>
      </c>
      <c r="G18" s="12">
        <v>154.1</v>
      </c>
      <c r="H18" s="12">
        <v>217</v>
      </c>
      <c r="I18" s="12">
        <v>162.4</v>
      </c>
      <c r="J18" s="12">
        <v>164.9</v>
      </c>
      <c r="K18" s="12">
        <v>202.4</v>
      </c>
      <c r="L18" s="12">
        <v>171</v>
      </c>
      <c r="M18" s="12">
        <v>174.9</v>
      </c>
      <c r="N18" s="12">
        <v>164.7</v>
      </c>
      <c r="O18" s="12">
        <v>119.7</v>
      </c>
      <c r="P18" s="12">
        <v>184.9</v>
      </c>
      <c r="Q18" s="12">
        <v>167.1</v>
      </c>
      <c r="R18" s="12">
        <v>182.5</v>
      </c>
      <c r="S18" s="12">
        <v>173.3</v>
      </c>
      <c r="T18" s="12">
        <v>194.1</v>
      </c>
      <c r="U18" s="12">
        <v>175.6</v>
      </c>
      <c r="V18" s="12">
        <v>168.4</v>
      </c>
      <c r="W18" s="12">
        <v>174.6</v>
      </c>
      <c r="X18" s="12">
        <v>167.5</v>
      </c>
      <c r="Y18" s="12">
        <v>174.6</v>
      </c>
      <c r="Z18" s="12">
        <v>165.2</v>
      </c>
      <c r="AA18" s="12">
        <v>174.8</v>
      </c>
      <c r="AB18" s="12">
        <v>163</v>
      </c>
      <c r="AC18" s="12">
        <v>165.1</v>
      </c>
      <c r="AD18" s="12">
        <v>167.9</v>
      </c>
      <c r="AE18" s="12">
        <v>168.4</v>
      </c>
      <c r="AF18" s="12">
        <v>167.5</v>
      </c>
      <c r="AG18" s="109">
        <v>171.7</v>
      </c>
    </row>
    <row r="19" spans="2:33" x14ac:dyDescent="0.3">
      <c r="B19" s="2" t="s">
        <v>34</v>
      </c>
      <c r="C19" s="2">
        <v>2022</v>
      </c>
      <c r="D19" s="2" t="s">
        <v>39</v>
      </c>
      <c r="E19" s="110">
        <v>9119.5499999999993</v>
      </c>
      <c r="F19" s="116">
        <v>7.1400000000000005E-2</v>
      </c>
      <c r="G19" s="13">
        <v>155</v>
      </c>
      <c r="H19" s="13">
        <v>219.4</v>
      </c>
      <c r="I19" s="13">
        <v>170.8</v>
      </c>
      <c r="J19" s="13">
        <v>165.8</v>
      </c>
      <c r="K19" s="13">
        <v>200.9</v>
      </c>
      <c r="L19" s="13">
        <v>169.7</v>
      </c>
      <c r="M19" s="13">
        <v>182.3</v>
      </c>
      <c r="N19" s="13">
        <v>164.3</v>
      </c>
      <c r="O19" s="13">
        <v>119.9</v>
      </c>
      <c r="P19" s="13">
        <v>187.1</v>
      </c>
      <c r="Q19" s="13">
        <v>167.9</v>
      </c>
      <c r="R19" s="13">
        <v>183.9</v>
      </c>
      <c r="S19" s="13">
        <v>174.9</v>
      </c>
      <c r="T19" s="13">
        <v>194.3</v>
      </c>
      <c r="U19" s="13">
        <v>177.1</v>
      </c>
      <c r="V19" s="13">
        <v>169.9</v>
      </c>
      <c r="W19" s="13">
        <v>176</v>
      </c>
      <c r="X19" s="13">
        <v>166.8</v>
      </c>
      <c r="Y19" s="13">
        <v>176</v>
      </c>
      <c r="Z19" s="13">
        <v>166.4</v>
      </c>
      <c r="AA19" s="13">
        <v>175.4</v>
      </c>
      <c r="AB19" s="13">
        <v>161.1</v>
      </c>
      <c r="AC19" s="13">
        <v>165.8</v>
      </c>
      <c r="AD19" s="13">
        <v>169</v>
      </c>
      <c r="AE19" s="13">
        <v>169.4</v>
      </c>
      <c r="AF19" s="13">
        <v>167.5</v>
      </c>
      <c r="AG19" s="110">
        <v>172.6</v>
      </c>
    </row>
    <row r="20" spans="2:33" x14ac:dyDescent="0.3">
      <c r="B20" s="1" t="s">
        <v>34</v>
      </c>
      <c r="C20" s="1">
        <v>2022</v>
      </c>
      <c r="D20" s="1" t="s">
        <v>40</v>
      </c>
      <c r="E20" s="109">
        <v>8366.39</v>
      </c>
      <c r="F20" s="115">
        <v>-8.2600000000000007E-2</v>
      </c>
      <c r="G20" s="12">
        <v>156.5</v>
      </c>
      <c r="H20" s="12">
        <v>213</v>
      </c>
      <c r="I20" s="12">
        <v>175.2</v>
      </c>
      <c r="J20" s="12">
        <v>166.6</v>
      </c>
      <c r="K20" s="12">
        <v>195.8</v>
      </c>
      <c r="L20" s="12">
        <v>174.2</v>
      </c>
      <c r="M20" s="12">
        <v>182.1</v>
      </c>
      <c r="N20" s="12">
        <v>164.3</v>
      </c>
      <c r="O20" s="12">
        <v>120</v>
      </c>
      <c r="P20" s="12">
        <v>190</v>
      </c>
      <c r="Q20" s="12">
        <v>168.4</v>
      </c>
      <c r="R20" s="12">
        <v>185.2</v>
      </c>
      <c r="S20" s="12">
        <v>175</v>
      </c>
      <c r="T20" s="12">
        <v>194.6</v>
      </c>
      <c r="U20" s="12">
        <v>178.3</v>
      </c>
      <c r="V20" s="12">
        <v>171.3</v>
      </c>
      <c r="W20" s="12">
        <v>177.3</v>
      </c>
      <c r="X20" s="12">
        <v>167.8</v>
      </c>
      <c r="Y20" s="12">
        <v>179.6</v>
      </c>
      <c r="Z20" s="12">
        <v>167.4</v>
      </c>
      <c r="AA20" s="12">
        <v>176.1</v>
      </c>
      <c r="AB20" s="12">
        <v>161.6</v>
      </c>
      <c r="AC20" s="12">
        <v>166.3</v>
      </c>
      <c r="AD20" s="12">
        <v>171.4</v>
      </c>
      <c r="AE20" s="12">
        <v>169.7</v>
      </c>
      <c r="AF20" s="12">
        <v>168.4</v>
      </c>
      <c r="AG20" s="109">
        <v>173.4</v>
      </c>
    </row>
    <row r="21" spans="2:33" x14ac:dyDescent="0.3">
      <c r="B21" s="2" t="s">
        <v>34</v>
      </c>
      <c r="C21" s="2">
        <v>2022</v>
      </c>
      <c r="D21" s="2" t="s">
        <v>41</v>
      </c>
      <c r="E21" s="110">
        <v>7634.9</v>
      </c>
      <c r="F21" s="116">
        <v>-8.7400000000000005E-2</v>
      </c>
      <c r="G21" s="13">
        <v>160.30000000000001</v>
      </c>
      <c r="H21" s="13">
        <v>206.5</v>
      </c>
      <c r="I21" s="13">
        <v>169.2</v>
      </c>
      <c r="J21" s="13">
        <v>168.1</v>
      </c>
      <c r="K21" s="13">
        <v>192.4</v>
      </c>
      <c r="L21" s="13">
        <v>172.9</v>
      </c>
      <c r="M21" s="13">
        <v>186.7</v>
      </c>
      <c r="N21" s="13">
        <v>167.2</v>
      </c>
      <c r="O21" s="13">
        <v>120.9</v>
      </c>
      <c r="P21" s="13">
        <v>193.6</v>
      </c>
      <c r="Q21" s="13">
        <v>168.8</v>
      </c>
      <c r="R21" s="13">
        <v>186.3</v>
      </c>
      <c r="S21" s="13">
        <v>176.3</v>
      </c>
      <c r="T21" s="13">
        <v>195</v>
      </c>
      <c r="U21" s="13">
        <v>179.5</v>
      </c>
      <c r="V21" s="13">
        <v>172.7</v>
      </c>
      <c r="W21" s="13">
        <v>178.5</v>
      </c>
      <c r="X21" s="13">
        <v>169</v>
      </c>
      <c r="Y21" s="13">
        <v>178.8</v>
      </c>
      <c r="Z21" s="13">
        <v>168.5</v>
      </c>
      <c r="AA21" s="13">
        <v>176.8</v>
      </c>
      <c r="AB21" s="13">
        <v>161.9</v>
      </c>
      <c r="AC21" s="13">
        <v>166.9</v>
      </c>
      <c r="AD21" s="13">
        <v>172.3</v>
      </c>
      <c r="AE21" s="13">
        <v>171.2</v>
      </c>
      <c r="AF21" s="13">
        <v>169.1</v>
      </c>
      <c r="AG21" s="110">
        <v>174.3</v>
      </c>
    </row>
    <row r="22" spans="2:33" x14ac:dyDescent="0.3">
      <c r="B22" s="1" t="s">
        <v>34</v>
      </c>
      <c r="C22" s="1">
        <v>2022</v>
      </c>
      <c r="D22" s="1" t="s">
        <v>42</v>
      </c>
      <c r="E22" s="109">
        <v>7079.45</v>
      </c>
      <c r="F22" s="115">
        <v>-7.2800000000000004E-2</v>
      </c>
      <c r="G22" s="12">
        <v>163.5</v>
      </c>
      <c r="H22" s="12">
        <v>209.2</v>
      </c>
      <c r="I22" s="12">
        <v>169.7</v>
      </c>
      <c r="J22" s="12">
        <v>169.7</v>
      </c>
      <c r="K22" s="12">
        <v>188.7</v>
      </c>
      <c r="L22" s="12">
        <v>165.7</v>
      </c>
      <c r="M22" s="12">
        <v>191.8</v>
      </c>
      <c r="N22" s="12">
        <v>169.1</v>
      </c>
      <c r="O22" s="12">
        <v>121.6</v>
      </c>
      <c r="P22" s="12">
        <v>197.3</v>
      </c>
      <c r="Q22" s="12">
        <v>169.4</v>
      </c>
      <c r="R22" s="12">
        <v>187.4</v>
      </c>
      <c r="S22" s="12">
        <v>177.8</v>
      </c>
      <c r="T22" s="12">
        <v>195.9</v>
      </c>
      <c r="U22" s="12">
        <v>180.9</v>
      </c>
      <c r="V22" s="12">
        <v>174.3</v>
      </c>
      <c r="W22" s="12">
        <v>179.9</v>
      </c>
      <c r="X22" s="12">
        <v>169.5</v>
      </c>
      <c r="Y22" s="12">
        <v>179.5</v>
      </c>
      <c r="Z22" s="12">
        <v>169.5</v>
      </c>
      <c r="AA22" s="12">
        <v>177.8</v>
      </c>
      <c r="AB22" s="12">
        <v>162.30000000000001</v>
      </c>
      <c r="AC22" s="12">
        <v>167.6</v>
      </c>
      <c r="AD22" s="12">
        <v>173.1</v>
      </c>
      <c r="AE22" s="12">
        <v>170.9</v>
      </c>
      <c r="AF22" s="12">
        <v>169.7</v>
      </c>
      <c r="AG22" s="109">
        <v>175.3</v>
      </c>
    </row>
    <row r="23" spans="2:33" x14ac:dyDescent="0.3">
      <c r="B23" s="2" t="s">
        <v>34</v>
      </c>
      <c r="C23" s="2">
        <v>2022</v>
      </c>
      <c r="D23" s="2" t="s">
        <v>43</v>
      </c>
      <c r="E23" s="110">
        <v>7437.13</v>
      </c>
      <c r="F23" s="116">
        <v>5.0500000000000003E-2</v>
      </c>
      <c r="G23" s="13">
        <v>165.2</v>
      </c>
      <c r="H23" s="13">
        <v>210.9</v>
      </c>
      <c r="I23" s="13">
        <v>170.9</v>
      </c>
      <c r="J23" s="13">
        <v>170.9</v>
      </c>
      <c r="K23" s="13">
        <v>186.5</v>
      </c>
      <c r="L23" s="13">
        <v>163.80000000000001</v>
      </c>
      <c r="M23" s="13">
        <v>199.7</v>
      </c>
      <c r="N23" s="13">
        <v>169.8</v>
      </c>
      <c r="O23" s="13">
        <v>121.9</v>
      </c>
      <c r="P23" s="13">
        <v>199.9</v>
      </c>
      <c r="Q23" s="13">
        <v>169.9</v>
      </c>
      <c r="R23" s="13">
        <v>188.3</v>
      </c>
      <c r="S23" s="13">
        <v>179.6</v>
      </c>
      <c r="T23" s="13">
        <v>196.3</v>
      </c>
      <c r="U23" s="13">
        <v>181.9</v>
      </c>
      <c r="V23" s="13">
        <v>175.3</v>
      </c>
      <c r="W23" s="13">
        <v>181</v>
      </c>
      <c r="X23" s="13">
        <v>171.2</v>
      </c>
      <c r="Y23" s="13">
        <v>180.5</v>
      </c>
      <c r="Z23" s="13">
        <v>170.4</v>
      </c>
      <c r="AA23" s="13">
        <v>178.7</v>
      </c>
      <c r="AB23" s="13">
        <v>162.9</v>
      </c>
      <c r="AC23" s="13">
        <v>168.2</v>
      </c>
      <c r="AD23" s="13">
        <v>173.4</v>
      </c>
      <c r="AE23" s="13">
        <v>172.1</v>
      </c>
      <c r="AF23" s="13">
        <v>170.5</v>
      </c>
      <c r="AG23" s="110">
        <v>176.7</v>
      </c>
    </row>
    <row r="24" spans="2:33" x14ac:dyDescent="0.3">
      <c r="B24" s="1" t="s">
        <v>34</v>
      </c>
      <c r="C24" s="1">
        <v>2022</v>
      </c>
      <c r="D24" s="1" t="s">
        <v>45</v>
      </c>
      <c r="E24" s="109">
        <v>7150.11</v>
      </c>
      <c r="F24" s="115">
        <v>-3.8600000000000002E-2</v>
      </c>
      <c r="G24" s="12">
        <v>167.4</v>
      </c>
      <c r="H24" s="12">
        <v>209.4</v>
      </c>
      <c r="I24" s="12">
        <v>181.4</v>
      </c>
      <c r="J24" s="12">
        <v>172.3</v>
      </c>
      <c r="K24" s="12">
        <v>188.9</v>
      </c>
      <c r="L24" s="12">
        <v>160.69999999999999</v>
      </c>
      <c r="M24" s="12">
        <v>183.1</v>
      </c>
      <c r="N24" s="12">
        <v>170.5</v>
      </c>
      <c r="O24" s="12">
        <v>122.1</v>
      </c>
      <c r="P24" s="12">
        <v>202.8</v>
      </c>
      <c r="Q24" s="12">
        <v>170.4</v>
      </c>
      <c r="R24" s="12">
        <v>189.5</v>
      </c>
      <c r="S24" s="12">
        <v>178.3</v>
      </c>
      <c r="T24" s="12">
        <v>196.9</v>
      </c>
      <c r="U24" s="12">
        <v>183.1</v>
      </c>
      <c r="V24" s="12">
        <v>176.2</v>
      </c>
      <c r="W24" s="12">
        <v>182.1</v>
      </c>
      <c r="X24" s="12">
        <v>171.8</v>
      </c>
      <c r="Y24" s="12">
        <v>181.3</v>
      </c>
      <c r="Z24" s="12">
        <v>171.4</v>
      </c>
      <c r="AA24" s="12">
        <v>179.8</v>
      </c>
      <c r="AB24" s="12">
        <v>163</v>
      </c>
      <c r="AC24" s="12">
        <v>168.5</v>
      </c>
      <c r="AD24" s="12">
        <v>173.7</v>
      </c>
      <c r="AE24" s="12">
        <v>173.6</v>
      </c>
      <c r="AF24" s="12">
        <v>171.1</v>
      </c>
      <c r="AG24" s="109">
        <v>176.5</v>
      </c>
    </row>
    <row r="25" spans="2:33" x14ac:dyDescent="0.3">
      <c r="B25" s="2" t="s">
        <v>34</v>
      </c>
      <c r="C25" s="2">
        <v>2022</v>
      </c>
      <c r="D25" s="2" t="s">
        <v>46</v>
      </c>
      <c r="E25" s="110">
        <v>6429.95</v>
      </c>
      <c r="F25" s="116">
        <v>-0.1007</v>
      </c>
      <c r="G25" s="13">
        <v>169.2</v>
      </c>
      <c r="H25" s="13">
        <v>209</v>
      </c>
      <c r="I25" s="13">
        <v>190.2</v>
      </c>
      <c r="J25" s="13">
        <v>173.6</v>
      </c>
      <c r="K25" s="13">
        <v>188.5</v>
      </c>
      <c r="L25" s="13">
        <v>158</v>
      </c>
      <c r="M25" s="13">
        <v>159.9</v>
      </c>
      <c r="N25" s="13">
        <v>170.8</v>
      </c>
      <c r="O25" s="13">
        <v>121.8</v>
      </c>
      <c r="P25" s="13">
        <v>205.2</v>
      </c>
      <c r="Q25" s="13">
        <v>171</v>
      </c>
      <c r="R25" s="13">
        <v>190.3</v>
      </c>
      <c r="S25" s="13">
        <v>175.9</v>
      </c>
      <c r="T25" s="13">
        <v>197.3</v>
      </c>
      <c r="U25" s="13">
        <v>184</v>
      </c>
      <c r="V25" s="13">
        <v>177</v>
      </c>
      <c r="W25" s="13">
        <v>183</v>
      </c>
      <c r="X25" s="13">
        <v>170.7</v>
      </c>
      <c r="Y25" s="13">
        <v>182</v>
      </c>
      <c r="Z25" s="13">
        <v>172.1</v>
      </c>
      <c r="AA25" s="13">
        <v>181.1</v>
      </c>
      <c r="AB25" s="13">
        <v>163.4</v>
      </c>
      <c r="AC25" s="13">
        <v>168.9</v>
      </c>
      <c r="AD25" s="13">
        <v>174.1</v>
      </c>
      <c r="AE25" s="13">
        <v>175.8</v>
      </c>
      <c r="AF25" s="13">
        <v>172</v>
      </c>
      <c r="AG25" s="110">
        <v>175.7</v>
      </c>
    </row>
    <row r="26" spans="2:33" x14ac:dyDescent="0.3">
      <c r="B26" s="1" t="s">
        <v>34</v>
      </c>
      <c r="C26" s="1">
        <v>2023</v>
      </c>
      <c r="D26" s="1" t="s">
        <v>31</v>
      </c>
      <c r="E26" s="109">
        <v>6584.69</v>
      </c>
      <c r="F26" s="115">
        <v>2.41E-2</v>
      </c>
      <c r="G26" s="12">
        <v>173.8</v>
      </c>
      <c r="H26" s="12">
        <v>210.7</v>
      </c>
      <c r="I26" s="12">
        <v>194.5</v>
      </c>
      <c r="J26" s="12">
        <v>174.6</v>
      </c>
      <c r="K26" s="12">
        <v>187.2</v>
      </c>
      <c r="L26" s="12">
        <v>158.30000000000001</v>
      </c>
      <c r="M26" s="12">
        <v>153.9</v>
      </c>
      <c r="N26" s="12">
        <v>170.9</v>
      </c>
      <c r="O26" s="12">
        <v>121.1</v>
      </c>
      <c r="P26" s="12">
        <v>208.4</v>
      </c>
      <c r="Q26" s="12">
        <v>171.4</v>
      </c>
      <c r="R26" s="12">
        <v>191.2</v>
      </c>
      <c r="S26" s="12">
        <v>176.7</v>
      </c>
      <c r="T26" s="12">
        <v>198.2</v>
      </c>
      <c r="U26" s="12">
        <v>184.9</v>
      </c>
      <c r="V26" s="12">
        <v>177.6</v>
      </c>
      <c r="W26" s="12">
        <v>183.8</v>
      </c>
      <c r="X26" s="12">
        <v>172.1</v>
      </c>
      <c r="Y26" s="12">
        <v>182</v>
      </c>
      <c r="Z26" s="12">
        <v>172.9</v>
      </c>
      <c r="AA26" s="12">
        <v>182.3</v>
      </c>
      <c r="AB26" s="12">
        <v>163.6</v>
      </c>
      <c r="AC26" s="12">
        <v>169.5</v>
      </c>
      <c r="AD26" s="12">
        <v>174.3</v>
      </c>
      <c r="AE26" s="12">
        <v>178.6</v>
      </c>
      <c r="AF26" s="12">
        <v>172.8</v>
      </c>
      <c r="AG26" s="109">
        <v>176.5</v>
      </c>
    </row>
    <row r="27" spans="2:33" x14ac:dyDescent="0.3">
      <c r="B27" s="2" t="s">
        <v>34</v>
      </c>
      <c r="C27" s="2">
        <v>2023</v>
      </c>
      <c r="D27" s="2" t="s">
        <v>35</v>
      </c>
      <c r="E27" s="110">
        <v>6628.99</v>
      </c>
      <c r="F27" s="116">
        <v>6.7000000000000002E-3</v>
      </c>
      <c r="G27" s="13">
        <v>174.4</v>
      </c>
      <c r="H27" s="13">
        <v>207.7</v>
      </c>
      <c r="I27" s="13">
        <v>175.2</v>
      </c>
      <c r="J27" s="13">
        <v>177.3</v>
      </c>
      <c r="K27" s="13">
        <v>179.3</v>
      </c>
      <c r="L27" s="13">
        <v>169.5</v>
      </c>
      <c r="M27" s="13">
        <v>152.69999999999999</v>
      </c>
      <c r="N27" s="13">
        <v>171</v>
      </c>
      <c r="O27" s="13">
        <v>120</v>
      </c>
      <c r="P27" s="13">
        <v>209.7</v>
      </c>
      <c r="Q27" s="13">
        <v>172.3</v>
      </c>
      <c r="R27" s="13">
        <v>193</v>
      </c>
      <c r="S27" s="13">
        <v>177</v>
      </c>
      <c r="T27" s="13">
        <v>199.5</v>
      </c>
      <c r="U27" s="13">
        <v>186.2</v>
      </c>
      <c r="V27" s="13">
        <v>178.7</v>
      </c>
      <c r="W27" s="13">
        <v>185.1</v>
      </c>
      <c r="X27" s="13">
        <v>173.5</v>
      </c>
      <c r="Y27" s="13">
        <v>182.1</v>
      </c>
      <c r="Z27" s="13">
        <v>174.2</v>
      </c>
      <c r="AA27" s="13">
        <v>184.4</v>
      </c>
      <c r="AB27" s="13">
        <v>164.2</v>
      </c>
      <c r="AC27" s="13">
        <v>170.3</v>
      </c>
      <c r="AD27" s="13">
        <v>175</v>
      </c>
      <c r="AE27" s="13">
        <v>181</v>
      </c>
      <c r="AF27" s="13">
        <v>174.1</v>
      </c>
      <c r="AG27" s="110">
        <v>177.2</v>
      </c>
    </row>
    <row r="28" spans="2:33" x14ac:dyDescent="0.3">
      <c r="B28" s="1" t="s">
        <v>34</v>
      </c>
      <c r="C28" s="1">
        <v>2023</v>
      </c>
      <c r="D28" s="1" t="s">
        <v>36</v>
      </c>
      <c r="E28" s="109">
        <v>6292.9</v>
      </c>
      <c r="F28" s="115">
        <v>-5.0700000000000002E-2</v>
      </c>
      <c r="G28" s="12">
        <v>174.4</v>
      </c>
      <c r="H28" s="12">
        <v>207.7</v>
      </c>
      <c r="I28" s="12">
        <v>175.2</v>
      </c>
      <c r="J28" s="12">
        <v>177.3</v>
      </c>
      <c r="K28" s="12">
        <v>179.2</v>
      </c>
      <c r="L28" s="12">
        <v>169.5</v>
      </c>
      <c r="M28" s="12">
        <v>152.80000000000001</v>
      </c>
      <c r="N28" s="12">
        <v>171.1</v>
      </c>
      <c r="O28" s="12">
        <v>120</v>
      </c>
      <c r="P28" s="12">
        <v>209.7</v>
      </c>
      <c r="Q28" s="12">
        <v>172.3</v>
      </c>
      <c r="R28" s="12">
        <v>193</v>
      </c>
      <c r="S28" s="12">
        <v>177</v>
      </c>
      <c r="T28" s="12">
        <v>199.5</v>
      </c>
      <c r="U28" s="12">
        <v>186.1</v>
      </c>
      <c r="V28" s="12">
        <v>178.7</v>
      </c>
      <c r="W28" s="12">
        <v>185.1</v>
      </c>
      <c r="X28" s="12">
        <v>173.5</v>
      </c>
      <c r="Y28" s="12">
        <v>181.9</v>
      </c>
      <c r="Z28" s="12">
        <v>174.2</v>
      </c>
      <c r="AA28" s="12">
        <v>184.4</v>
      </c>
      <c r="AB28" s="12">
        <v>164.2</v>
      </c>
      <c r="AC28" s="12">
        <v>170.3</v>
      </c>
      <c r="AD28" s="12">
        <v>175</v>
      </c>
      <c r="AE28" s="12">
        <v>181</v>
      </c>
      <c r="AF28" s="12">
        <v>174.1</v>
      </c>
      <c r="AG28" s="109">
        <v>177.2</v>
      </c>
    </row>
    <row r="29" spans="2:33" x14ac:dyDescent="0.3">
      <c r="B29" s="2" t="s">
        <v>34</v>
      </c>
      <c r="C29" s="2">
        <v>2023</v>
      </c>
      <c r="D29" s="2" t="s">
        <v>37</v>
      </c>
      <c r="E29" s="110">
        <v>6763.43</v>
      </c>
      <c r="F29" s="116">
        <v>7.4800000000000005E-2</v>
      </c>
      <c r="G29" s="13">
        <v>173.8</v>
      </c>
      <c r="H29" s="13">
        <v>209.3</v>
      </c>
      <c r="I29" s="13">
        <v>169.6</v>
      </c>
      <c r="J29" s="13">
        <v>178.4</v>
      </c>
      <c r="K29" s="13">
        <v>174.9</v>
      </c>
      <c r="L29" s="13">
        <v>176.3</v>
      </c>
      <c r="M29" s="13">
        <v>155.4</v>
      </c>
      <c r="N29" s="13">
        <v>173.4</v>
      </c>
      <c r="O29" s="13">
        <v>121.3</v>
      </c>
      <c r="P29" s="13">
        <v>212.9</v>
      </c>
      <c r="Q29" s="13">
        <v>172.9</v>
      </c>
      <c r="R29" s="13">
        <v>193.5</v>
      </c>
      <c r="S29" s="13">
        <v>177.9</v>
      </c>
      <c r="T29" s="13">
        <v>200.6</v>
      </c>
      <c r="U29" s="13">
        <v>186.9</v>
      </c>
      <c r="V29" s="13">
        <v>179.2</v>
      </c>
      <c r="W29" s="13">
        <v>185.7</v>
      </c>
      <c r="X29" s="13">
        <v>175.2</v>
      </c>
      <c r="Y29" s="13">
        <v>181.7</v>
      </c>
      <c r="Z29" s="13">
        <v>174.6</v>
      </c>
      <c r="AA29" s="13">
        <v>185</v>
      </c>
      <c r="AB29" s="13">
        <v>164.5</v>
      </c>
      <c r="AC29" s="13">
        <v>170.7</v>
      </c>
      <c r="AD29" s="13">
        <v>176.4</v>
      </c>
      <c r="AE29" s="13">
        <v>184</v>
      </c>
      <c r="AF29" s="13">
        <v>175</v>
      </c>
      <c r="AG29" s="110">
        <v>178.1</v>
      </c>
    </row>
    <row r="30" spans="2:33" x14ac:dyDescent="0.3">
      <c r="B30" s="98" t="s">
        <v>34</v>
      </c>
      <c r="C30" s="98">
        <v>2023</v>
      </c>
      <c r="D30" s="98" t="s">
        <v>38</v>
      </c>
      <c r="E30" s="114">
        <v>6102.52</v>
      </c>
      <c r="F30" s="117">
        <v>-9.7699999999999995E-2</v>
      </c>
      <c r="G30" s="99">
        <v>173.7</v>
      </c>
      <c r="H30" s="99">
        <v>214.3</v>
      </c>
      <c r="I30" s="99">
        <v>173.2</v>
      </c>
      <c r="J30" s="99">
        <v>179.5</v>
      </c>
      <c r="K30" s="99">
        <v>170</v>
      </c>
      <c r="L30" s="99">
        <v>172.2</v>
      </c>
      <c r="M30" s="99">
        <v>161</v>
      </c>
      <c r="N30" s="99">
        <v>175.6</v>
      </c>
      <c r="O30" s="99">
        <v>122.7</v>
      </c>
      <c r="P30" s="99">
        <v>218</v>
      </c>
      <c r="Q30" s="99">
        <v>173.4</v>
      </c>
      <c r="R30" s="99">
        <v>194.2</v>
      </c>
      <c r="S30" s="99">
        <v>179.1</v>
      </c>
      <c r="T30" s="99">
        <v>201</v>
      </c>
      <c r="U30" s="99">
        <v>187.3</v>
      </c>
      <c r="V30" s="99">
        <v>179.7</v>
      </c>
      <c r="W30" s="99">
        <v>186.2</v>
      </c>
      <c r="X30" s="99">
        <v>175.6</v>
      </c>
      <c r="Y30" s="99">
        <v>182.8</v>
      </c>
      <c r="Z30" s="99">
        <v>175.2</v>
      </c>
      <c r="AA30" s="99">
        <v>185.7</v>
      </c>
      <c r="AB30" s="99">
        <v>164.8</v>
      </c>
      <c r="AC30" s="99">
        <v>171.2</v>
      </c>
      <c r="AD30" s="99">
        <v>177.1</v>
      </c>
      <c r="AE30" s="99">
        <v>185.2</v>
      </c>
      <c r="AF30" s="99">
        <v>175.7</v>
      </c>
      <c r="AG30" s="114">
        <v>179.1</v>
      </c>
    </row>
    <row r="32" spans="2:33" x14ac:dyDescent="0.3">
      <c r="B32" s="118" t="s">
        <v>95</v>
      </c>
      <c r="C32" s="118" t="s">
        <v>96</v>
      </c>
    </row>
    <row r="33" spans="2:3" x14ac:dyDescent="0.3">
      <c r="B33" s="6" t="s">
        <v>4</v>
      </c>
      <c r="C33" s="119">
        <f>CORREL(Table7[Meat and fish],Table7[Crude  Oil Price])</f>
        <v>0.82976000172757847</v>
      </c>
    </row>
    <row r="34" spans="2:3" x14ac:dyDescent="0.3">
      <c r="B34" s="6" t="s">
        <v>7</v>
      </c>
      <c r="C34" s="119">
        <f>CORREL(Table7[Oils and fats],Table7[Crude  Oil Price])</f>
        <v>0.78612655775260643</v>
      </c>
    </row>
    <row r="35" spans="2:3" x14ac:dyDescent="0.3">
      <c r="B35" s="6" t="s">
        <v>24</v>
      </c>
      <c r="C35" s="119">
        <f>CORREL(Table7[Transport and communication],Table7[Crude  Oil Price])</f>
        <v>0.7691346178544527</v>
      </c>
    </row>
    <row r="36" spans="2:3" x14ac:dyDescent="0.3">
      <c r="B36" s="6" t="s">
        <v>25</v>
      </c>
      <c r="C36" s="119">
        <f>CORREL(Table7[Recreation and amusement],Table7[Crude  Oil Price])</f>
        <v>0.70915143783047174</v>
      </c>
    </row>
    <row r="37" spans="2:3" x14ac:dyDescent="0.3">
      <c r="B37" s="6" t="s">
        <v>15</v>
      </c>
      <c r="C37" s="119">
        <f>CORREL(Table7[Food and beverages],Table7[Crude  Oil Price])</f>
        <v>0.6992487597760989</v>
      </c>
    </row>
    <row r="38" spans="2:3" x14ac:dyDescent="0.3">
      <c r="B38" s="6" t="s">
        <v>21</v>
      </c>
      <c r="C38" s="119">
        <f>CORREL(Table7[Fuel and light],Table7[Crude  Oil Price])</f>
        <v>0.69868863736555287</v>
      </c>
    </row>
    <row r="39" spans="2:3" x14ac:dyDescent="0.3">
      <c r="B39" s="6" t="s">
        <v>18</v>
      </c>
      <c r="C39" s="119">
        <f>CORREL(Table7[Footwear],Table7[Crude  Oil Price])</f>
        <v>0.67757089027903006</v>
      </c>
    </row>
    <row r="40" spans="2:3" x14ac:dyDescent="0.3">
      <c r="B40" s="6" t="s">
        <v>13</v>
      </c>
      <c r="C40" s="119">
        <f>CORREL(Table7[Non-alcoholic beverages],Table7[Crude  Oil Price])</f>
        <v>0.6731820320430193</v>
      </c>
    </row>
    <row r="41" spans="2:3" x14ac:dyDescent="0.3">
      <c r="B41" s="6" t="s">
        <v>28</v>
      </c>
      <c r="C41" s="6">
        <f>CORREL(Table7[Miscellaneous],Table7[Crude  Oil Price])</f>
        <v>0.66105300882740048</v>
      </c>
    </row>
    <row r="42" spans="2:3" x14ac:dyDescent="0.3">
      <c r="B42" s="6" t="s">
        <v>19</v>
      </c>
      <c r="C42" s="119">
        <f>CORREL(Table7[Clothing and footwear],Table7[Crude  Oil Price])</f>
        <v>0.65640717777537905</v>
      </c>
    </row>
    <row r="43" spans="2:3" x14ac:dyDescent="0.3">
      <c r="B43" s="6" t="s">
        <v>17</v>
      </c>
      <c r="C43" s="119">
        <f>CORREL(Table7[Clothing],Table7[Crude  Oil Price])</f>
        <v>0.65210691657911835</v>
      </c>
    </row>
    <row r="44" spans="2:3" x14ac:dyDescent="0.3">
      <c r="B44" s="6" t="s">
        <v>22</v>
      </c>
      <c r="C44" s="119">
        <f>CORREL(Table7[Household goods and services],Table7[Crude  Oil Price])</f>
        <v>0.63868476399803498</v>
      </c>
    </row>
    <row r="45" spans="2:3" x14ac:dyDescent="0.3">
      <c r="B45" s="6" t="s">
        <v>14</v>
      </c>
      <c r="C45" s="119">
        <f>CORREL(Table7[Prepared meals, snacks, sweets etc.],Table7[Crude  Oil Price])</f>
        <v>0.62017585155151789</v>
      </c>
    </row>
    <row r="46" spans="2:3" x14ac:dyDescent="0.3">
      <c r="B46" s="6" t="s">
        <v>23</v>
      </c>
      <c r="C46" s="119">
        <f>CORREL(Table7[Health],Table7[Crude  Oil Price])</f>
        <v>0.60701633505987906</v>
      </c>
    </row>
    <row r="47" spans="2:3" x14ac:dyDescent="0.3">
      <c r="B47" s="6" t="s">
        <v>26</v>
      </c>
      <c r="C47" s="119">
        <f>CORREL(Table7[Education],Table7[Crude  Oil Price])</f>
        <v>0.58096182334470836</v>
      </c>
    </row>
    <row r="48" spans="2:3" x14ac:dyDescent="0.3">
      <c r="B48" s="6" t="s">
        <v>11</v>
      </c>
      <c r="C48" s="119">
        <f>CORREL(Table7[Sugar and Confectionery],Table7[Crude  Oil Price])</f>
        <v>0.57884029312468499</v>
      </c>
    </row>
    <row r="49" spans="2:8" x14ac:dyDescent="0.3">
      <c r="B49" s="6" t="s">
        <v>20</v>
      </c>
      <c r="C49" s="119">
        <f>CORREL(Table7[Housing],Table7[Crude  Oil Price])</f>
        <v>0.56669439541330768</v>
      </c>
    </row>
    <row r="50" spans="2:8" x14ac:dyDescent="0.3">
      <c r="B50" s="6" t="s">
        <v>8</v>
      </c>
      <c r="C50" s="119">
        <f>CORREL(Table7[Fruits],Table7[Crude  Oil Price])</f>
        <v>0.53866711105625731</v>
      </c>
    </row>
    <row r="51" spans="2:8" x14ac:dyDescent="0.3">
      <c r="B51" s="6" t="s">
        <v>27</v>
      </c>
      <c r="C51" s="119">
        <f>CORREL(Table7[Personal care and effects],Table7[Crude  Oil Price])</f>
        <v>0.53627413116002898</v>
      </c>
    </row>
    <row r="52" spans="2:8" x14ac:dyDescent="0.3">
      <c r="B52" s="6" t="s">
        <v>16</v>
      </c>
      <c r="C52" s="119">
        <f>CORREL(Table7[Pan, tobacco and intoxicants],Table7[Crude  Oil Price])</f>
        <v>0.53078984242568139</v>
      </c>
    </row>
    <row r="53" spans="2:8" x14ac:dyDescent="0.3">
      <c r="B53" s="6" t="s">
        <v>6</v>
      </c>
      <c r="C53" s="119">
        <f>CORREL(Table7[Milk and products],Table7[Crude  Oil Price])</f>
        <v>0.50191206660561394</v>
      </c>
    </row>
    <row r="54" spans="2:8" x14ac:dyDescent="0.3">
      <c r="B54" s="6" t="s">
        <v>12</v>
      </c>
      <c r="C54" s="119">
        <f>CORREL(Table7[Spices],Table7[Crude  Oil Price])</f>
        <v>0.49037621142597632</v>
      </c>
    </row>
    <row r="55" spans="2:8" x14ac:dyDescent="0.3">
      <c r="B55" s="6" t="s">
        <v>3</v>
      </c>
      <c r="C55" s="119">
        <f>CORREL(Table7[Cereals and products],Table7[Crude  Oil Price])</f>
        <v>0.41406417772574977</v>
      </c>
    </row>
    <row r="56" spans="2:8" x14ac:dyDescent="0.3">
      <c r="B56" s="6" t="s">
        <v>9</v>
      </c>
      <c r="C56" s="119">
        <f>CORREL(Table7[Vegetables],Table7[Crude  Oil Price])</f>
        <v>0.32748325455167671</v>
      </c>
    </row>
    <row r="57" spans="2:8" x14ac:dyDescent="0.3">
      <c r="B57" s="6" t="s">
        <v>10</v>
      </c>
      <c r="C57" s="119">
        <f>CORREL(Table7[Pulses and products],Table7[Crude  Oil Price])</f>
        <v>0.32126191720009467</v>
      </c>
    </row>
    <row r="58" spans="2:8" x14ac:dyDescent="0.3">
      <c r="B58" s="6" t="s">
        <v>5</v>
      </c>
      <c r="C58" s="119">
        <f>CORREL(Table7[Egg],Table7[Crude  Oil Price])</f>
        <v>-0.10573760239933629</v>
      </c>
    </row>
    <row r="60" spans="2:8" x14ac:dyDescent="0.3">
      <c r="B60" s="184" t="s">
        <v>98</v>
      </c>
      <c r="C60" s="184"/>
      <c r="D60" s="184"/>
      <c r="E60" s="184"/>
      <c r="F60" s="184"/>
      <c r="G60" s="184"/>
      <c r="H60" s="184"/>
    </row>
    <row r="62" spans="2:8" ht="15" thickBot="1" x14ac:dyDescent="0.35"/>
    <row r="63" spans="2:8" ht="15" thickBot="1" x14ac:dyDescent="0.35">
      <c r="B63" s="200" t="s">
        <v>128</v>
      </c>
    </row>
    <row r="64" spans="2:8" x14ac:dyDescent="0.3">
      <c r="B64" s="191" t="s">
        <v>99</v>
      </c>
      <c r="C64" s="192"/>
      <c r="D64" s="192"/>
      <c r="E64" s="193"/>
    </row>
    <row r="65" spans="2:5" x14ac:dyDescent="0.3">
      <c r="B65" s="194"/>
      <c r="C65" s="195"/>
      <c r="D65" s="195"/>
      <c r="E65" s="196"/>
    </row>
    <row r="66" spans="2:5" ht="15" thickBot="1" x14ac:dyDescent="0.35">
      <c r="B66" s="197"/>
      <c r="C66" s="198"/>
      <c r="D66" s="198"/>
      <c r="E66" s="199"/>
    </row>
  </sheetData>
  <mergeCells count="2">
    <mergeCell ref="B60:H60"/>
    <mergeCell ref="B64:E66"/>
  </mergeCells>
  <conditionalFormatting sqref="C33:C5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3:C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EF17C1-F02F-435F-A21A-7EB2C21E8C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Objective</vt:lpstr>
      <vt:lpstr>Original Data</vt:lpstr>
      <vt:lpstr>Working Data</vt:lpstr>
      <vt:lpstr>Buckets</vt:lpstr>
      <vt:lpstr>Problem statement 1</vt:lpstr>
      <vt:lpstr>Problem statement 2</vt:lpstr>
      <vt:lpstr>Problem statement 3</vt:lpstr>
      <vt:lpstr>Problem statement 4</vt:lpstr>
      <vt:lpstr>Problem statement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Arshad Shaikh</dc:creator>
  <cp:lastModifiedBy>Arshad Shaikh</cp:lastModifiedBy>
  <dcterms:created xsi:type="dcterms:W3CDTF">2025-05-05T00:01:07Z</dcterms:created>
  <dcterms:modified xsi:type="dcterms:W3CDTF">2025-05-07T17:37:06Z</dcterms:modified>
</cp:coreProperties>
</file>